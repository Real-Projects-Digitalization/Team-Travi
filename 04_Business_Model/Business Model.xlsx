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h/Library/Mobile Documents/com~apple~CloudDocs/Documents/University/University OAS Munich Business/7. Semester/7.1/"/>
    </mc:Choice>
  </mc:AlternateContent>
  <xr:revisionPtr revIDLastSave="0" documentId="8_{45032DA6-4025-5849-A45C-6D599126293C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Assumptions" sheetId="10" r:id="rId1"/>
    <sheet name="P&amp;L" sheetId="9" r:id="rId2"/>
    <sheet name="Break Even Calculation" sheetId="11" r:id="rId3"/>
    <sheet name="Customer Aquisition Costs" sheetId="12" r:id="rId4"/>
    <sheet name="Market Size" sheetId="13" r:id="rId5"/>
    <sheet name="Cashflow" sheetId="7" state="hidden" r:id="rId6"/>
    <sheet name="Bilanz" sheetId="8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3" l="1"/>
  <c r="D20" i="13" s="1"/>
  <c r="D9" i="13"/>
  <c r="D31" i="13"/>
  <c r="D7" i="11"/>
  <c r="G11" i="12"/>
  <c r="H11" i="12"/>
  <c r="I11" i="12"/>
  <c r="N11" i="12"/>
  <c r="P11" i="12"/>
  <c r="Q11" i="12"/>
  <c r="T11" i="12"/>
  <c r="X11" i="12"/>
  <c r="Y11" i="12"/>
  <c r="AL11" i="12"/>
  <c r="E9" i="12"/>
  <c r="E11" i="12" s="1"/>
  <c r="G9" i="12"/>
  <c r="H9" i="12"/>
  <c r="I9" i="12"/>
  <c r="J9" i="12"/>
  <c r="J11" i="12" s="1"/>
  <c r="K9" i="12"/>
  <c r="K11" i="12" s="1"/>
  <c r="L9" i="12"/>
  <c r="L11" i="12" s="1"/>
  <c r="M9" i="12"/>
  <c r="M11" i="12" s="1"/>
  <c r="N9" i="12"/>
  <c r="P9" i="12"/>
  <c r="Q9" i="12"/>
  <c r="R9" i="12"/>
  <c r="R11" i="12" s="1"/>
  <c r="S9" i="12"/>
  <c r="S11" i="12" s="1"/>
  <c r="T9" i="12"/>
  <c r="U9" i="12"/>
  <c r="U11" i="12" s="1"/>
  <c r="X9" i="12"/>
  <c r="Y9" i="12"/>
  <c r="Z9" i="12"/>
  <c r="Z11" i="12" s="1"/>
  <c r="AA9" i="12"/>
  <c r="AA11" i="12" s="1"/>
  <c r="AB9" i="12"/>
  <c r="AB11" i="12" s="1"/>
  <c r="AC9" i="12"/>
  <c r="AC11" i="12" s="1"/>
  <c r="AJ9" i="12"/>
  <c r="AJ11" i="12" s="1"/>
  <c r="AK9" i="12"/>
  <c r="AK11" i="12" s="1"/>
  <c r="AL9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D7" i="12"/>
  <c r="E7" i="9"/>
  <c r="E13" i="9" s="1"/>
  <c r="F7" i="9"/>
  <c r="F9" i="12" s="1"/>
  <c r="F11" i="12" s="1"/>
  <c r="T13" i="9"/>
  <c r="U13" i="9"/>
  <c r="V13" i="9"/>
  <c r="AC7" i="9"/>
  <c r="AE7" i="9"/>
  <c r="AG7" i="9"/>
  <c r="AG13" i="9" s="1"/>
  <c r="AH7" i="9"/>
  <c r="AH9" i="12" s="1"/>
  <c r="AH11" i="12" s="1"/>
  <c r="E9" i="9"/>
  <c r="F13" i="9"/>
  <c r="G9" i="9"/>
  <c r="G13" i="9" s="1"/>
  <c r="H13" i="9"/>
  <c r="I9" i="9"/>
  <c r="J9" i="9"/>
  <c r="J13" i="9" s="1"/>
  <c r="K9" i="9"/>
  <c r="K13" i="9" s="1"/>
  <c r="L9" i="9"/>
  <c r="L13" i="9" s="1"/>
  <c r="M9" i="9"/>
  <c r="M13" i="9" s="1"/>
  <c r="O9" i="9"/>
  <c r="O9" i="12" s="1"/>
  <c r="O11" i="12" s="1"/>
  <c r="P9" i="9"/>
  <c r="P13" i="9" s="1"/>
  <c r="Q9" i="9"/>
  <c r="R9" i="9"/>
  <c r="R13" i="9" s="1"/>
  <c r="S9" i="9"/>
  <c r="U9" i="9"/>
  <c r="V9" i="9"/>
  <c r="V9" i="12" s="1"/>
  <c r="V11" i="12" s="1"/>
  <c r="W9" i="9"/>
  <c r="W9" i="12" s="1"/>
  <c r="W11" i="12" s="1"/>
  <c r="Y13" i="9"/>
  <c r="Z9" i="9"/>
  <c r="Z13" i="9" s="1"/>
  <c r="AA9" i="9"/>
  <c r="AA13" i="9" s="1"/>
  <c r="AB9" i="9"/>
  <c r="AB13" i="9" s="1"/>
  <c r="AD9" i="9"/>
  <c r="AD9" i="12" s="1"/>
  <c r="AD11" i="12" s="1"/>
  <c r="AE9" i="9"/>
  <c r="AF9" i="9"/>
  <c r="AF9" i="12" s="1"/>
  <c r="AF11" i="12" s="1"/>
  <c r="AH9" i="9"/>
  <c r="AI9" i="9"/>
  <c r="AI13" i="9" s="1"/>
  <c r="AJ9" i="9"/>
  <c r="AJ13" i="9" s="1"/>
  <c r="AK9" i="9"/>
  <c r="AL13" i="9"/>
  <c r="AM9" i="9"/>
  <c r="AM9" i="12" s="1"/>
  <c r="AM11" i="12" s="1"/>
  <c r="Q13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D7" i="9"/>
  <c r="D9" i="12" s="1"/>
  <c r="D11" i="12" s="1"/>
  <c r="D9" i="9"/>
  <c r="D8" i="11"/>
  <c r="E14" i="11" s="1"/>
  <c r="F14" i="11" s="1"/>
  <c r="D20" i="11"/>
  <c r="D16" i="11"/>
  <c r="D17" i="11"/>
  <c r="D18" i="11"/>
  <c r="D19" i="11"/>
  <c r="D15" i="11"/>
  <c r="D39" i="10"/>
  <c r="D41" i="10" s="1"/>
  <c r="D19" i="9"/>
  <c r="O13" i="9" l="1"/>
  <c r="AF13" i="9"/>
  <c r="AG9" i="12"/>
  <c r="AG11" i="12" s="1"/>
  <c r="AE13" i="9"/>
  <c r="D10" i="10"/>
  <c r="N11" i="9" s="1"/>
  <c r="W13" i="9"/>
  <c r="AI9" i="12"/>
  <c r="AI11" i="12" s="1"/>
  <c r="D40" i="10"/>
  <c r="AD13" i="9"/>
  <c r="AE9" i="12"/>
  <c r="AE11" i="12" s="1"/>
  <c r="D13" i="9"/>
  <c r="AM11" i="9"/>
  <c r="AM15" i="9" s="1"/>
  <c r="AM30" i="9" s="1"/>
  <c r="AC11" i="9"/>
  <c r="K11" i="9"/>
  <c r="J11" i="9"/>
  <c r="AL11" i="9"/>
  <c r="AL15" i="9" s="1"/>
  <c r="AL30" i="9" s="1"/>
  <c r="AB11" i="9"/>
  <c r="AB15" i="9" s="1"/>
  <c r="AB30" i="9" s="1"/>
  <c r="L11" i="9"/>
  <c r="L15" i="9" s="1"/>
  <c r="L30" i="9" s="1"/>
  <c r="U11" i="9"/>
  <c r="U15" i="9" s="1"/>
  <c r="U30" i="9" s="1"/>
  <c r="AD11" i="9"/>
  <c r="AD15" i="9" s="1"/>
  <c r="AD30" i="9" s="1"/>
  <c r="T11" i="9"/>
  <c r="T15" i="9" s="1"/>
  <c r="T30" i="9" s="1"/>
  <c r="AE11" i="9"/>
  <c r="AE15" i="9" s="1"/>
  <c r="AE30" i="9" s="1"/>
  <c r="M11" i="9"/>
  <c r="M15" i="9" s="1"/>
  <c r="M30" i="9" s="1"/>
  <c r="D11" i="9"/>
  <c r="D15" i="9" s="1"/>
  <c r="AI11" i="9"/>
  <c r="AI15" i="9" s="1"/>
  <c r="AI30" i="9" s="1"/>
  <c r="AH11" i="9"/>
  <c r="AH15" i="9" s="1"/>
  <c r="AH30" i="9" s="1"/>
  <c r="X11" i="9"/>
  <c r="E15" i="11"/>
  <c r="F15" i="11" s="1"/>
  <c r="AM13" i="9"/>
  <c r="D10" i="11"/>
  <c r="AK13" i="9"/>
  <c r="AC13" i="9"/>
  <c r="I13" i="9"/>
  <c r="AH13" i="9"/>
  <c r="X13" i="9"/>
  <c r="N13" i="9"/>
  <c r="S13" i="9"/>
  <c r="E19" i="11"/>
  <c r="F19" i="11" s="1"/>
  <c r="E20" i="11"/>
  <c r="F20" i="11" s="1"/>
  <c r="E16" i="11"/>
  <c r="F16" i="11" s="1"/>
  <c r="K15" i="9"/>
  <c r="K30" i="9" s="1"/>
  <c r="J15" i="9"/>
  <c r="J30" i="9" s="1"/>
  <c r="E18" i="11"/>
  <c r="F18" i="11" s="1"/>
  <c r="E17" i="11"/>
  <c r="F17" i="11" s="1"/>
  <c r="D26" i="9"/>
  <c r="V11" i="9" l="1"/>
  <c r="V15" i="9" s="1"/>
  <c r="V30" i="9" s="1"/>
  <c r="G11" i="9"/>
  <c r="G15" i="9" s="1"/>
  <c r="G30" i="9" s="1"/>
  <c r="AG11" i="9"/>
  <c r="AG15" i="9" s="1"/>
  <c r="AG30" i="9" s="1"/>
  <c r="AF11" i="9"/>
  <c r="AF15" i="9" s="1"/>
  <c r="AF30" i="9" s="1"/>
  <c r="E11" i="9"/>
  <c r="E15" i="9" s="1"/>
  <c r="E30" i="9" s="1"/>
  <c r="P11" i="9"/>
  <c r="P15" i="9" s="1"/>
  <c r="P30" i="9" s="1"/>
  <c r="Q11" i="9"/>
  <c r="Q15" i="9" s="1"/>
  <c r="Q30" i="9" s="1"/>
  <c r="I11" i="9"/>
  <c r="N15" i="9"/>
  <c r="N30" i="9" s="1"/>
  <c r="F11" i="9"/>
  <c r="F15" i="9" s="1"/>
  <c r="F30" i="9" s="1"/>
  <c r="W11" i="9"/>
  <c r="W15" i="9" s="1"/>
  <c r="W30" i="9" s="1"/>
  <c r="O11" i="9"/>
  <c r="O15" i="9" s="1"/>
  <c r="O30" i="9" s="1"/>
  <c r="Z11" i="9"/>
  <c r="Z15" i="9" s="1"/>
  <c r="Z30" i="9" s="1"/>
  <c r="AA11" i="9"/>
  <c r="AA15" i="9" s="1"/>
  <c r="AA30" i="9" s="1"/>
  <c r="H11" i="9"/>
  <c r="H15" i="9" s="1"/>
  <c r="H30" i="9" s="1"/>
  <c r="Y11" i="9"/>
  <c r="Y15" i="9" s="1"/>
  <c r="Y30" i="9" s="1"/>
  <c r="AJ11" i="9"/>
  <c r="AJ15" i="9" s="1"/>
  <c r="AJ30" i="9" s="1"/>
  <c r="AK11" i="9"/>
  <c r="AK15" i="9" s="1"/>
  <c r="AK30" i="9" s="1"/>
  <c r="R11" i="9"/>
  <c r="R15" i="9" s="1"/>
  <c r="R30" i="9" s="1"/>
  <c r="S11" i="9"/>
  <c r="S15" i="9" s="1"/>
  <c r="S30" i="9" s="1"/>
  <c r="X15" i="9"/>
  <c r="X30" i="9" s="1"/>
  <c r="AC15" i="9"/>
  <c r="AC30" i="9" s="1"/>
  <c r="I15" i="9"/>
  <c r="I30" i="9" s="1"/>
  <c r="D3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tc={F483CE0E-364B-1C40-8DCB-8F210BE7248B}</author>
  </authors>
  <commentList>
    <comment ref="D5" authorId="0" shapeId="0" xr:uid="{F483CE0E-364B-1C40-8DCB-8F210BE7248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https://www.booking.com/affiliate-program/v2/index.html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tc={CF2359B7-E03E-B846-AE83-E7DCBA775EB6}</author>
  </authors>
  <commentList>
    <comment ref="C30" authorId="0" shapeId="0" xr:uid="{CF2359B7-E03E-B846-AE83-E7DCBA775E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Gewinn vor Zinsen, Steuern und Abschreibungen auf Sachanlagen und immaterielle Vermögenswerte </t>
      </text>
    </comment>
  </commentList>
</comments>
</file>

<file path=xl/sharedStrings.xml><?xml version="1.0" encoding="utf-8"?>
<sst xmlns="http://schemas.openxmlformats.org/spreadsheetml/2006/main" count="145" uniqueCount="125">
  <si>
    <t xml:space="preserve">Team Travi -Assumptions </t>
  </si>
  <si>
    <t xml:space="preserve">Commission model only </t>
  </si>
  <si>
    <t>Booking Commission</t>
  </si>
  <si>
    <t>15-25% per booking</t>
  </si>
  <si>
    <t>Earnings Travi</t>
  </si>
  <si>
    <t>5-7% per booking</t>
  </si>
  <si>
    <t>Users</t>
  </si>
  <si>
    <t xml:space="preserve">Active monthly users in the beginning </t>
  </si>
  <si>
    <t>Average booking value per user</t>
  </si>
  <si>
    <t>Booking Conversion Rate</t>
  </si>
  <si>
    <t xml:space="preserve">Marketing </t>
  </si>
  <si>
    <t>Channel 1</t>
  </si>
  <si>
    <t>Landing Page/Newsletter</t>
  </si>
  <si>
    <t>Channel 2</t>
  </si>
  <si>
    <t>Influencer</t>
  </si>
  <si>
    <t>Channel 3</t>
  </si>
  <si>
    <t>Web-Ads</t>
  </si>
  <si>
    <t>Overhead &amp; Tools</t>
  </si>
  <si>
    <t xml:space="preserve">Number of founders </t>
  </si>
  <si>
    <t>Tools</t>
  </si>
  <si>
    <t>Office 365, Pycharm,etc.</t>
  </si>
  <si>
    <t>Average booking value per user (Flight + Hotel)</t>
  </si>
  <si>
    <t>Avergage Flight Booking Cost</t>
  </si>
  <si>
    <t>Intra-Europe (Gen Z travel)</t>
  </si>
  <si>
    <t>80-150€</t>
  </si>
  <si>
    <t>International (e.g. Europe–Asia)</t>
  </si>
  <si>
    <t>400-900€</t>
  </si>
  <si>
    <t>Average Hotel/Accommodation Booking</t>
  </si>
  <si>
    <t>Hostel (2 nights)</t>
  </si>
  <si>
    <t>60-100€</t>
  </si>
  <si>
    <t>Hotel (2–3 nights)</t>
  </si>
  <si>
    <t>150-250€</t>
  </si>
  <si>
    <t>Airbnb (split)</t>
  </si>
  <si>
    <t>€100–€150</t>
  </si>
  <si>
    <t>Tours, Tickets &amp; Local Experiences</t>
  </si>
  <si>
    <t>City tours, museum, nightlife passes</t>
  </si>
  <si>
    <t>20-50€</t>
  </si>
  <si>
    <t>Adventure (e.g. diving, hot air balloon)</t>
  </si>
  <si>
    <t>80–150€</t>
  </si>
  <si>
    <t>Total Booking Value Per User (+-10% stdv.)</t>
  </si>
  <si>
    <t>Flights</t>
  </si>
  <si>
    <t>Accommodation</t>
  </si>
  <si>
    <t>Activities/Tours</t>
  </si>
  <si>
    <t>Lower End (-10%)</t>
  </si>
  <si>
    <t>Upper End (+10%)</t>
  </si>
  <si>
    <t>Team Travi - P&amp;L</t>
  </si>
  <si>
    <t>Profit &amp; Loss</t>
  </si>
  <si>
    <t>Comission</t>
  </si>
  <si>
    <t>Monthly active users</t>
  </si>
  <si>
    <t>Average booking value per user (Flight + Hotel per user)</t>
  </si>
  <si>
    <t># of Bookings</t>
  </si>
  <si>
    <t>Revenue (Bookings)</t>
  </si>
  <si>
    <t>Discounts</t>
  </si>
  <si>
    <t>Sales &amp; Marketing Cost</t>
  </si>
  <si>
    <t>Marketing</t>
  </si>
  <si>
    <t>Sales</t>
  </si>
  <si>
    <t>Production</t>
  </si>
  <si>
    <t>Overhead</t>
  </si>
  <si>
    <t>HR</t>
  </si>
  <si>
    <t>General Cost</t>
  </si>
  <si>
    <t>EBITDA</t>
  </si>
  <si>
    <t>Team Travi - Break-Even Calculation</t>
  </si>
  <si>
    <t>Commission Rate (Travi)</t>
  </si>
  <si>
    <t>Booking Value/User</t>
  </si>
  <si>
    <t>Revenue/Booking</t>
  </si>
  <si>
    <t>Fixed Costs</t>
  </si>
  <si>
    <t xml:space="preserve">Break-Even Calculation (bookings/month) </t>
  </si>
  <si>
    <t xml:space="preserve">Bookings </t>
  </si>
  <si>
    <t>Revenue (€)</t>
  </si>
  <si>
    <t xml:space="preserve">Fixed Cost (€) </t>
  </si>
  <si>
    <t>Profit (EBITDA)</t>
  </si>
  <si>
    <t>Team Travi - Customer Aquisition Costs (CAC)</t>
  </si>
  <si>
    <t>CAC Calculation</t>
  </si>
  <si>
    <t>Total CAC Spend</t>
  </si>
  <si>
    <t>Number of New Customers</t>
  </si>
  <si>
    <t>CAC (per booking customer)</t>
  </si>
  <si>
    <t>Customer Aquisition Costs (CAC) per booking customer</t>
  </si>
  <si>
    <t>Cashflow</t>
  </si>
  <si>
    <t>Bilanz</t>
  </si>
  <si>
    <t>Aktiva</t>
  </si>
  <si>
    <t>Anlagevermögen</t>
  </si>
  <si>
    <t>000€</t>
  </si>
  <si>
    <t>Umlaufvermögen</t>
  </si>
  <si>
    <t>Barmittel (Kassenbestand)</t>
  </si>
  <si>
    <t>Geldanlage</t>
  </si>
  <si>
    <t>Forderungen aus Lieferungen und Leistungen</t>
  </si>
  <si>
    <t>Lagerbestand (Vorräte)</t>
  </si>
  <si>
    <t>Summe Umlaufvermögen</t>
  </si>
  <si>
    <t>Summe Aktiva</t>
  </si>
  <si>
    <t>Passiva</t>
  </si>
  <si>
    <t>Eigenkapital</t>
  </si>
  <si>
    <t>gezeichnetes Kapital</t>
  </si>
  <si>
    <t>Eigenkapital (ohne gez. Kapital)</t>
  </si>
  <si>
    <t>Gewinnrücklage inkl. Gewinn- / Verlustvorträge</t>
  </si>
  <si>
    <t>Summe Eigenkapital</t>
  </si>
  <si>
    <t>Verbindlichkeiten</t>
  </si>
  <si>
    <t>Verbindlichkeiten aus Lieferungen und Leistungen</t>
  </si>
  <si>
    <t>Verbindlichkeiten gegenüber Kreditinstituten</t>
  </si>
  <si>
    <t>Summe Verbindlichkeiten</t>
  </si>
  <si>
    <t>Summe Passiva</t>
  </si>
  <si>
    <t>TAM (Total Addressable Market)</t>
  </si>
  <si>
    <t xml:space="preserve">TAM </t>
  </si>
  <si>
    <t>SAM (Serviceable Addressable Market)</t>
  </si>
  <si>
    <t>SAM</t>
  </si>
  <si>
    <t>SOM (Service Obtainable Market)</t>
  </si>
  <si>
    <t>SOM</t>
  </si>
  <si>
    <t>https://cropink.com/generation-z-marketing-statistics</t>
  </si>
  <si>
    <t xml:space="preserve">https://www.peekpro.com/blog/gen-z-travel-trends </t>
  </si>
  <si>
    <t>https://explodingtopics.com/blog/gen-z-stats?utm_source=chatgpt.com#top-2025-generation-z-statistics</t>
  </si>
  <si>
    <t>https://www.gfk.com/hubfs/Global%20Gen%20Z%20and%20Millennails_New%20Preview%20Report-1.pdf?utm</t>
  </si>
  <si>
    <t>https://media.market.us/gen-z-statistics/?utm</t>
  </si>
  <si>
    <t>Gen - Z which are travelling (25%)</t>
  </si>
  <si>
    <t>€ Travel expenses (annually) 2-3x 400€ trips</t>
  </si>
  <si>
    <t>Billion (yearly)</t>
  </si>
  <si>
    <t>(yearly)</t>
  </si>
  <si>
    <t>Billion Gen Z worldwide</t>
  </si>
  <si>
    <t>Target group → Users in Western Europe who can be reached at short notice</t>
  </si>
  <si>
    <t>Estimate of our users (until 2027)</t>
  </si>
  <si>
    <t>€ average booking value per year/user</t>
  </si>
  <si>
    <t>Travi commission</t>
  </si>
  <si>
    <t>Sources</t>
  </si>
  <si>
    <t>Market Size - Understanding the Market</t>
  </si>
  <si>
    <t>own assumptions</t>
  </si>
  <si>
    <t>Target group → Gen Z in US &amp; Europe, smartphone-savvy, willing to travel in groups (25%)</t>
  </si>
  <si>
    <t>Million Gen Z in US &amp;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</si>
</sst>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mmm&quot;-&quot;yy"/>
    <numFmt numFmtId="165" formatCode="#,##0\ [$€-1]"/>
    <numFmt numFmtId="166" formatCode="_-* #,##0\ &quot;€&quot;_-;\-* #,##0\ &quot;€&quot;_-;_-* &quot;-&quot;??\ &quot;€&quot;_-;_-@_-"/>
    <numFmt numFmtId="167" formatCode="#,##0\ &quot;€&quot;"/>
    <numFmt numFmtId="168" formatCode="0.0000"/>
  </numFmts>
  <fonts count="18" x14ac:knownFonts="1">
    <font>
      <sz val="11"/>
      <color theme="1"/>
      <name val="Calibri"/>
      <scheme val="minor"/>
    </font>
    <font>
      <b/>
      <sz val="11"/>
      <color rgb="FF000000"/>
      <name val="Calibri"/>
      <family val="2"/>
      <scheme val="minor"/>
    </font>
    <font>
      <b/>
      <sz val="13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206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rgb="FFE2EFDA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5" fillId="0" borderId="0" xfId="0" quotePrefix="1" applyFont="1"/>
    <xf numFmtId="0" fontId="5" fillId="4" borderId="1" xfId="0" quotePrefix="1" applyFont="1" applyFill="1" applyBorder="1"/>
    <xf numFmtId="0" fontId="5" fillId="3" borderId="4" xfId="0" quotePrefix="1" applyFont="1" applyFill="1" applyBorder="1"/>
    <xf numFmtId="0" fontId="8" fillId="0" borderId="0" xfId="0" applyFont="1" applyAlignment="1">
      <alignment horizontal="right"/>
    </xf>
    <xf numFmtId="0" fontId="2" fillId="0" borderId="0" xfId="0" applyFont="1"/>
    <xf numFmtId="3" fontId="1" fillId="0" borderId="0" xfId="0" applyNumberFormat="1" applyFont="1"/>
    <xf numFmtId="0" fontId="1" fillId="0" borderId="0" xfId="0" applyFont="1"/>
    <xf numFmtId="3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10" fillId="5" borderId="0" xfId="0" applyFont="1" applyFill="1"/>
    <xf numFmtId="0" fontId="0" fillId="5" borderId="0" xfId="0" applyFill="1"/>
    <xf numFmtId="164" fontId="9" fillId="5" borderId="2" xfId="0" applyNumberFormat="1" applyFont="1" applyFill="1" applyBorder="1" applyAlignment="1">
      <alignment horizontal="center"/>
    </xf>
    <xf numFmtId="1" fontId="1" fillId="6" borderId="0" xfId="0" applyNumberFormat="1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5" fontId="3" fillId="6" borderId="0" xfId="0" applyNumberFormat="1" applyFont="1" applyFill="1" applyAlignment="1">
      <alignment horizontal="right"/>
    </xf>
    <xf numFmtId="164" fontId="9" fillId="5" borderId="5" xfId="0" applyNumberFormat="1" applyFont="1" applyFill="1" applyBorder="1" applyAlignment="1">
      <alignment horizontal="left"/>
    </xf>
    <xf numFmtId="9" fontId="1" fillId="0" borderId="0" xfId="0" applyNumberFormat="1" applyFont="1" applyAlignment="1">
      <alignment horizontal="right"/>
    </xf>
    <xf numFmtId="0" fontId="12" fillId="0" borderId="0" xfId="0" applyFont="1"/>
    <xf numFmtId="1" fontId="1" fillId="0" borderId="0" xfId="0" applyNumberFormat="1" applyFont="1" applyAlignment="1">
      <alignment horizontal="right"/>
    </xf>
    <xf numFmtId="9" fontId="1" fillId="7" borderId="0" xfId="0" applyNumberFormat="1" applyFont="1" applyFill="1" applyAlignment="1">
      <alignment horizontal="right"/>
    </xf>
    <xf numFmtId="9" fontId="1" fillId="6" borderId="0" xfId="2" applyFont="1" applyFill="1" applyAlignment="1">
      <alignment horizontal="right"/>
    </xf>
    <xf numFmtId="44" fontId="1" fillId="0" borderId="0" xfId="1" applyFont="1" applyAlignment="1">
      <alignment horizontal="right"/>
    </xf>
    <xf numFmtId="44" fontId="1" fillId="7" borderId="0" xfId="1" applyFont="1" applyFill="1" applyAlignment="1">
      <alignment horizontal="right"/>
    </xf>
    <xf numFmtId="164" fontId="9" fillId="5" borderId="5" xfId="0" applyNumberFormat="1" applyFont="1" applyFill="1" applyBorder="1" applyAlignment="1">
      <alignment horizontal="left" wrapText="1"/>
    </xf>
    <xf numFmtId="164" fontId="12" fillId="9" borderId="5" xfId="0" applyNumberFormat="1" applyFont="1" applyFill="1" applyBorder="1" applyAlignment="1">
      <alignment horizontal="left"/>
    </xf>
    <xf numFmtId="164" fontId="9" fillId="5" borderId="6" xfId="0" applyNumberFormat="1" applyFont="1" applyFill="1" applyBorder="1" applyAlignment="1">
      <alignment horizontal="left"/>
    </xf>
    <xf numFmtId="9" fontId="0" fillId="0" borderId="5" xfId="0" applyNumberFormat="1" applyBorder="1"/>
    <xf numFmtId="44" fontId="0" fillId="0" borderId="5" xfId="1" applyFont="1" applyBorder="1"/>
    <xf numFmtId="2" fontId="0" fillId="0" borderId="5" xfId="1" applyNumberFormat="1" applyFont="1" applyBorder="1"/>
    <xf numFmtId="0" fontId="3" fillId="0" borderId="5" xfId="0" applyFont="1" applyBorder="1"/>
    <xf numFmtId="44" fontId="3" fillId="0" borderId="5" xfId="0" applyNumberFormat="1" applyFont="1" applyBorder="1"/>
    <xf numFmtId="166" fontId="1" fillId="7" borderId="0" xfId="1" applyNumberFormat="1" applyFont="1" applyFill="1" applyAlignment="1">
      <alignment horizontal="right"/>
    </xf>
    <xf numFmtId="167" fontId="1" fillId="6" borderId="0" xfId="2" applyNumberFormat="1" applyFont="1" applyFill="1" applyAlignment="1">
      <alignment horizontal="right"/>
    </xf>
    <xf numFmtId="2" fontId="1" fillId="6" borderId="0" xfId="2" applyNumberFormat="1" applyFont="1" applyFill="1" applyAlignment="1">
      <alignment horizontal="right"/>
    </xf>
    <xf numFmtId="44" fontId="1" fillId="10" borderId="0" xfId="1" applyFont="1" applyFill="1" applyAlignment="1">
      <alignment horizontal="right"/>
    </xf>
    <xf numFmtId="0" fontId="0" fillId="0" borderId="7" xfId="0" applyBorder="1"/>
    <xf numFmtId="44" fontId="12" fillId="8" borderId="5" xfId="1" applyFont="1" applyFill="1" applyBorder="1" applyAlignment="1">
      <alignment horizontal="right"/>
    </xf>
    <xf numFmtId="0" fontId="11" fillId="0" borderId="5" xfId="0" applyFont="1" applyBorder="1"/>
    <xf numFmtId="44" fontId="11" fillId="0" borderId="5" xfId="1" applyFont="1" applyBorder="1"/>
    <xf numFmtId="9" fontId="11" fillId="0" borderId="5" xfId="0" applyNumberFormat="1" applyFont="1" applyBorder="1"/>
    <xf numFmtId="0" fontId="11" fillId="0" borderId="5" xfId="0" applyFont="1" applyBorder="1" applyAlignment="1">
      <alignment horizontal="right"/>
    </xf>
    <xf numFmtId="44" fontId="11" fillId="0" borderId="5" xfId="1" applyFont="1" applyBorder="1" applyAlignment="1">
      <alignment horizontal="right"/>
    </xf>
    <xf numFmtId="0" fontId="11" fillId="9" borderId="5" xfId="0" applyFont="1" applyFill="1" applyBorder="1"/>
    <xf numFmtId="0" fontId="11" fillId="0" borderId="7" xfId="0" applyFont="1" applyBorder="1"/>
    <xf numFmtId="0" fontId="11" fillId="0" borderId="0" xfId="0" applyFont="1"/>
    <xf numFmtId="0" fontId="5" fillId="0" borderId="0" xfId="0" applyFont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right"/>
    </xf>
    <xf numFmtId="3" fontId="5" fillId="3" borderId="4" xfId="0" applyNumberFormat="1" applyFont="1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14" fillId="0" borderId="10" xfId="0" applyFont="1" applyBorder="1"/>
    <xf numFmtId="0" fontId="0" fillId="0" borderId="12" xfId="0" applyBorder="1"/>
    <xf numFmtId="0" fontId="16" fillId="0" borderId="0" xfId="4" applyFont="1"/>
    <xf numFmtId="0" fontId="16" fillId="0" borderId="0" xfId="0" applyFont="1"/>
    <xf numFmtId="0" fontId="15" fillId="0" borderId="0" xfId="4"/>
    <xf numFmtId="9" fontId="0" fillId="0" borderId="8" xfId="2" applyFont="1" applyBorder="1"/>
    <xf numFmtId="43" fontId="14" fillId="7" borderId="11" xfId="3" applyFont="1" applyFill="1" applyBorder="1"/>
    <xf numFmtId="0" fontId="14" fillId="0" borderId="0" xfId="0" applyFont="1"/>
    <xf numFmtId="0" fontId="11" fillId="0" borderId="12" xfId="0" applyFont="1" applyBorder="1"/>
    <xf numFmtId="43" fontId="0" fillId="0" borderId="8" xfId="3" applyFont="1" applyBorder="1"/>
    <xf numFmtId="0" fontId="17" fillId="0" borderId="0" xfId="0" applyFont="1" applyAlignment="1">
      <alignment horizontal="right"/>
    </xf>
    <xf numFmtId="168" fontId="0" fillId="0" borderId="8" xfId="0" applyNumberFormat="1" applyBorder="1"/>
    <xf numFmtId="0" fontId="11" fillId="8" borderId="5" xfId="0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64" fontId="9" fillId="5" borderId="13" xfId="0" applyNumberFormat="1" applyFont="1" applyFill="1" applyBorder="1" applyAlignment="1">
      <alignment horizontal="left"/>
    </xf>
    <xf numFmtId="164" fontId="9" fillId="5" borderId="14" xfId="0" applyNumberFormat="1" applyFont="1" applyFill="1" applyBorder="1" applyAlignment="1">
      <alignment horizontal="left"/>
    </xf>
    <xf numFmtId="164" fontId="9" fillId="5" borderId="15" xfId="0" applyNumberFormat="1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2" borderId="0" xfId="0" applyFont="1" applyFill="1"/>
    <xf numFmtId="0" fontId="0" fillId="0" borderId="0" xfId="0"/>
    <xf numFmtId="0" fontId="5" fillId="3" borderId="3" xfId="0" applyFont="1" applyFill="1" applyBorder="1"/>
    <xf numFmtId="0" fontId="7" fillId="0" borderId="3" xfId="0" applyFont="1" applyBorder="1"/>
    <xf numFmtId="0" fontId="5" fillId="3" borderId="1" xfId="0" applyFont="1" applyFill="1" applyBorder="1"/>
    <xf numFmtId="0" fontId="7" fillId="0" borderId="1" xfId="0" applyFont="1" applyBorder="1"/>
    <xf numFmtId="0" fontId="5" fillId="4" borderId="1" xfId="0" applyFont="1" applyFill="1" applyBorder="1"/>
    <xf numFmtId="0" fontId="5" fillId="3" borderId="2" xfId="0" applyFont="1" applyFill="1" applyBorder="1"/>
    <xf numFmtId="0" fontId="7" fillId="0" borderId="2" xfId="0" applyFont="1" applyBorder="1"/>
    <xf numFmtId="0" fontId="5" fillId="4" borderId="2" xfId="0" applyFont="1" applyFill="1" applyBorder="1"/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'Break Even Calculation'!$F$13</c:f>
              <c:strCache>
                <c:ptCount val="1"/>
                <c:pt idx="0">
                  <c:v>Profit (EBITDA)</c:v>
                </c:pt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'Break Even Calculation'!$C$14:$C$20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158</c:v>
                </c:pt>
                <c:pt idx="5">
                  <c:v>200</c:v>
                </c:pt>
                <c:pt idx="6">
                  <c:v>300</c:v>
                </c:pt>
              </c:numCache>
            </c:numRef>
          </c:xVal>
          <c:yVal>
            <c:numRef>
              <c:f>'Break Even Calculation'!$F$14:$F$20</c:f>
              <c:numCache>
                <c:formatCode>_("€"* #,##0.00_);_("€"* \(#,##0.00\);_("€"* "-"??_);_(@_)</c:formatCode>
                <c:ptCount val="7"/>
                <c:pt idx="0">
                  <c:v>-2920</c:v>
                </c:pt>
                <c:pt idx="1">
                  <c:v>-1995</c:v>
                </c:pt>
                <c:pt idx="2">
                  <c:v>-1070</c:v>
                </c:pt>
                <c:pt idx="3">
                  <c:v>-145</c:v>
                </c:pt>
                <c:pt idx="4">
                  <c:v>3</c:v>
                </c:pt>
                <c:pt idx="5">
                  <c:v>780</c:v>
                </c:pt>
                <c:pt idx="6">
                  <c:v>2630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AA-F546-B95F-A9610D19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427824"/>
        <c:axId val="1387429536"/>
      </c:scatterChart>
      <c:valAx>
        <c:axId val="138742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bookings</a:t>
                </a:r>
                <a:r>
                  <a:rPr lang="en-GB" baseline="0"/>
                  <a:t> a month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7429536"/>
        <c:crosses val="autoZero"/>
        <c:crossBetween val="midCat"/>
      </c:valAx>
      <c:valAx>
        <c:axId val="138742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  (EBITDA)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742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'Customer Aquisition Costs'!$D$5:$AM$5</c:f>
              <c:numCache>
                <c:formatCode>mmm"-"yy</c:formatCode>
                <c:ptCount val="36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  <c:pt idx="24">
                  <c:v>46388</c:v>
                </c:pt>
                <c:pt idx="25">
                  <c:v>46419</c:v>
                </c:pt>
                <c:pt idx="26">
                  <c:v>46447</c:v>
                </c:pt>
                <c:pt idx="27">
                  <c:v>46478</c:v>
                </c:pt>
                <c:pt idx="28">
                  <c:v>46508</c:v>
                </c:pt>
                <c:pt idx="29">
                  <c:v>46539</c:v>
                </c:pt>
                <c:pt idx="30">
                  <c:v>46569</c:v>
                </c:pt>
                <c:pt idx="31">
                  <c:v>46600</c:v>
                </c:pt>
                <c:pt idx="32">
                  <c:v>46631</c:v>
                </c:pt>
                <c:pt idx="33">
                  <c:v>46661</c:v>
                </c:pt>
                <c:pt idx="34">
                  <c:v>46692</c:v>
                </c:pt>
                <c:pt idx="35">
                  <c:v>46722</c:v>
                </c:pt>
              </c:numCache>
            </c:numRef>
          </c:cat>
          <c:val>
            <c:numRef>
              <c:f>'Customer Aquisition Costs'!$D$11:$AM$11</c:f>
              <c:numCache>
                <c:formatCode>_("€"* #,##0.00_);_("€"* \(#,##0.00\);_("€"* "-"??_);_(@_)</c:formatCode>
                <c:ptCount val="36"/>
                <c:pt idx="0">
                  <c:v>6.666666666666667</c:v>
                </c:pt>
                <c:pt idx="1">
                  <c:v>6.666666666666667</c:v>
                </c:pt>
                <c:pt idx="2">
                  <c:v>3.75</c:v>
                </c:pt>
                <c:pt idx="3">
                  <c:v>3.6363636363636362</c:v>
                </c:pt>
                <c:pt idx="4">
                  <c:v>2.7272727272727271</c:v>
                </c:pt>
                <c:pt idx="5">
                  <c:v>3.6363636363636362</c:v>
                </c:pt>
                <c:pt idx="6">
                  <c:v>3.6363636363636362</c:v>
                </c:pt>
                <c:pt idx="7">
                  <c:v>3.6363636363636362</c:v>
                </c:pt>
                <c:pt idx="8">
                  <c:v>2.4242424242424243</c:v>
                </c:pt>
                <c:pt idx="9">
                  <c:v>1.9047619047619047</c:v>
                </c:pt>
                <c:pt idx="10">
                  <c:v>1.4285714285714286</c:v>
                </c:pt>
                <c:pt idx="11">
                  <c:v>1.9047619047619047</c:v>
                </c:pt>
                <c:pt idx="12">
                  <c:v>1.9047619047619047</c:v>
                </c:pt>
                <c:pt idx="13">
                  <c:v>1.9047619047619047</c:v>
                </c:pt>
                <c:pt idx="14">
                  <c:v>1.5873015873015872</c:v>
                </c:pt>
                <c:pt idx="15">
                  <c:v>1.5873015873015872</c:v>
                </c:pt>
                <c:pt idx="16">
                  <c:v>1.1904761904761905</c:v>
                </c:pt>
                <c:pt idx="17">
                  <c:v>1.3333333333333333</c:v>
                </c:pt>
                <c:pt idx="18">
                  <c:v>1.3333333333333333</c:v>
                </c:pt>
                <c:pt idx="19">
                  <c:v>1.3333333333333333</c:v>
                </c:pt>
                <c:pt idx="20">
                  <c:v>1</c:v>
                </c:pt>
                <c:pt idx="21">
                  <c:v>0.5714285714285714</c:v>
                </c:pt>
                <c:pt idx="22">
                  <c:v>1.3333333333333333</c:v>
                </c:pt>
                <c:pt idx="23">
                  <c:v>1.3333333333333333</c:v>
                </c:pt>
                <c:pt idx="24">
                  <c:v>1.3333333333333333</c:v>
                </c:pt>
                <c:pt idx="25">
                  <c:v>2.5</c:v>
                </c:pt>
                <c:pt idx="26">
                  <c:v>1.3333333333333333</c:v>
                </c:pt>
                <c:pt idx="27">
                  <c:v>3.3333333333333335</c:v>
                </c:pt>
                <c:pt idx="28">
                  <c:v>1.3333333333333333</c:v>
                </c:pt>
                <c:pt idx="29">
                  <c:v>2.5</c:v>
                </c:pt>
                <c:pt idx="30">
                  <c:v>3.3333333333333335</c:v>
                </c:pt>
                <c:pt idx="31">
                  <c:v>1.3333333333333333</c:v>
                </c:pt>
                <c:pt idx="32">
                  <c:v>1.3333333333333333</c:v>
                </c:pt>
                <c:pt idx="33">
                  <c:v>1.3333333333333333</c:v>
                </c:pt>
                <c:pt idx="34">
                  <c:v>1</c:v>
                </c:pt>
                <c:pt idx="35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9-2249-AFC6-03B6E00AE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5002096"/>
        <c:axId val="835003808"/>
      </c:lineChart>
      <c:dateAx>
        <c:axId val="835002096"/>
        <c:scaling>
          <c:orientation val="minMax"/>
        </c:scaling>
        <c:delete val="0"/>
        <c:axPos val="b"/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003808"/>
        <c:crosses val="autoZero"/>
        <c:auto val="1"/>
        <c:lblOffset val="100"/>
        <c:baseTimeUnit val="months"/>
      </c:dateAx>
      <c:valAx>
        <c:axId val="8350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500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127000</xdr:rowOff>
    </xdr:from>
    <xdr:to>
      <xdr:col>1</xdr:col>
      <xdr:colOff>372566</xdr:colOff>
      <xdr:row>5</xdr:row>
      <xdr:rowOff>185722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D27D1C-C32D-A942-81F3-00320DCFEA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41300" y="127000"/>
          <a:ext cx="956766" cy="1163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298791</xdr:colOff>
      <xdr:row>0</xdr:row>
      <xdr:rowOff>120034</xdr:rowOff>
    </xdr:from>
    <xdr:to>
      <xdr:col>1</xdr:col>
      <xdr:colOff>436202</xdr:colOff>
      <xdr:row>5</xdr:row>
      <xdr:rowOff>150215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858DD2-D2F1-0864-A194-2F6A6C0CF0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98791" y="120034"/>
          <a:ext cx="956766" cy="11636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114300</xdr:rowOff>
    </xdr:from>
    <xdr:to>
      <xdr:col>1</xdr:col>
      <xdr:colOff>461466</xdr:colOff>
      <xdr:row>5</xdr:row>
      <xdr:rowOff>173022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7EEE05-C3B4-8949-8D3C-11C3C5629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330200" y="114300"/>
          <a:ext cx="956766" cy="1163622"/>
        </a:xfrm>
        <a:prstGeom prst="rect">
          <a:avLst/>
        </a:prstGeom>
      </xdr:spPr>
    </xdr:pic>
    <xdr:clientData/>
  </xdr:twoCellAnchor>
  <xdr:twoCellAnchor>
    <xdr:from>
      <xdr:col>1</xdr:col>
      <xdr:colOff>812800</xdr:colOff>
      <xdr:row>25</xdr:row>
      <xdr:rowOff>139700</xdr:rowOff>
    </xdr:from>
    <xdr:to>
      <xdr:col>11</xdr:col>
      <xdr:colOff>749300</xdr:colOff>
      <xdr:row>50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7A972-C4F6-3C74-2972-A33CCBC2D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215900</xdr:rowOff>
    </xdr:from>
    <xdr:to>
      <xdr:col>1</xdr:col>
      <xdr:colOff>520700</xdr:colOff>
      <xdr:row>6</xdr:row>
      <xdr:rowOff>177100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CA359-D55C-C048-94AB-81163919B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92100" y="215900"/>
          <a:ext cx="1054100" cy="1282000"/>
        </a:xfrm>
        <a:prstGeom prst="rect">
          <a:avLst/>
        </a:prstGeom>
      </xdr:spPr>
    </xdr:pic>
    <xdr:clientData/>
  </xdr:twoCellAnchor>
  <xdr:twoCellAnchor>
    <xdr:from>
      <xdr:col>2</xdr:col>
      <xdr:colOff>6350</xdr:colOff>
      <xdr:row>16</xdr:row>
      <xdr:rowOff>152400</xdr:rowOff>
    </xdr:from>
    <xdr:to>
      <xdr:col>12</xdr:col>
      <xdr:colOff>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E63C6-9C90-A850-4278-4FCEE32A6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1</xdr:col>
      <xdr:colOff>454911</xdr:colOff>
      <xdr:row>5</xdr:row>
      <xdr:rowOff>80981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8C1EF646-0AE7-5A46-B051-307DCB8E3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14" t="7352" r="26634" b="10059"/>
        <a:stretch>
          <a:fillRect/>
        </a:stretch>
      </xdr:blipFill>
      <xdr:spPr>
        <a:xfrm>
          <a:off x="266700" y="203200"/>
          <a:ext cx="1013711" cy="116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11378</xdr:colOff>
      <xdr:row>12</xdr:row>
      <xdr:rowOff>12700</xdr:rowOff>
    </xdr:from>
    <xdr:to>
      <xdr:col>11</xdr:col>
      <xdr:colOff>685800</xdr:colOff>
      <xdr:row>30</xdr:row>
      <xdr:rowOff>202938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CBA53FB-C83A-BCFC-3137-AB3502FE3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9078" y="2476500"/>
          <a:ext cx="3976422" cy="3657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nhard Wach" id="{C82445E4-EC58-4B3C-89EE-86403228BB50}" userId="S::bernhard.wach@hm.edu::535c0aac-0e93-4ebc-a897-f40dfd1f86fd" providerId="AD"/>
  <person displayName="Hoffmann, Luka Benedikt" id="{213957EA-3C63-6D4A-8360-E76B6CA2D01E}" userId="S::l.hoffmann@it.hm.edu::d3915a63-7f06-467f-9ad1-9e0ddc8cb169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5-06-22T05:53:49.21" personId="{213957EA-3C63-6D4A-8360-E76B6CA2D01E}" id="{F483CE0E-364B-1C40-8DCB-8F210BE7248B}">
    <text>https://www.booking.com/affiliate-program/v2/index.html</text>
    <extLst>
      <x:ext xmlns:xltc2="http://schemas.microsoft.com/office/spreadsheetml/2020/threadedcomments2" uri="{F7C98A9C-CBB3-438F-8F68-D28B6AF4A901}">
        <xltc2:checksum>3500988651</xltc2:checksum>
        <xltc2:hyperlink startIndex="0" length="55" url="https://www.booking.com/affiliate-program/v2/index.html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0" dT="2025-06-05T05:26:17.46" personId="{C82445E4-EC58-4B3C-89EE-86403228BB50}" id="{CF2359B7-E03E-B846-AE83-E7DCBA775EB6}">
    <text xml:space="preserve">Gewinn vor Zinsen, Steuern und Abschreibungen auf Sachanlagen und immaterielle Vermögenswerte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9F15-472C-9249-87A3-850A2D61FA0C}">
  <sheetPr>
    <tabColor theme="4" tint="0.79998168889431442"/>
  </sheetPr>
  <dimension ref="C1:AM41"/>
  <sheetViews>
    <sheetView showGridLines="0" tabSelected="1" zoomScale="118" workbookViewId="0">
      <selection activeCell="C1" sqref="C1"/>
    </sheetView>
  </sheetViews>
  <sheetFormatPr baseColWidth="10" defaultColWidth="11.5" defaultRowHeight="15" x14ac:dyDescent="0.2"/>
  <cols>
    <col min="3" max="3" width="41.5" customWidth="1"/>
    <col min="4" max="4" width="20" bestFit="1" customWidth="1"/>
  </cols>
  <sheetData>
    <row r="1" spans="3:39" ht="27" customHeight="1" x14ac:dyDescent="0.3">
      <c r="C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4" spans="3:39" x14ac:dyDescent="0.2">
      <c r="C4" s="24" t="s">
        <v>1</v>
      </c>
    </row>
    <row r="5" spans="3:39" x14ac:dyDescent="0.2">
      <c r="C5" s="22" t="s">
        <v>2</v>
      </c>
      <c r="D5" s="44" t="s">
        <v>3</v>
      </c>
    </row>
    <row r="6" spans="3:39" x14ac:dyDescent="0.2">
      <c r="C6" s="22" t="s">
        <v>4</v>
      </c>
      <c r="D6" s="44" t="s">
        <v>5</v>
      </c>
    </row>
    <row r="8" spans="3:39" x14ac:dyDescent="0.2">
      <c r="C8" s="24" t="s">
        <v>6</v>
      </c>
    </row>
    <row r="9" spans="3:39" x14ac:dyDescent="0.2">
      <c r="C9" s="22" t="s">
        <v>7</v>
      </c>
      <c r="D9" s="44">
        <v>2000</v>
      </c>
    </row>
    <row r="10" spans="3:39" x14ac:dyDescent="0.2">
      <c r="C10" s="22" t="s">
        <v>8</v>
      </c>
      <c r="D10" s="45">
        <f>D39</f>
        <v>370</v>
      </c>
    </row>
    <row r="11" spans="3:39" x14ac:dyDescent="0.2">
      <c r="C11" s="22" t="s">
        <v>9</v>
      </c>
      <c r="D11" s="46">
        <v>0.15</v>
      </c>
    </row>
    <row r="13" spans="3:39" x14ac:dyDescent="0.2">
      <c r="C13" s="24" t="s">
        <v>10</v>
      </c>
    </row>
    <row r="14" spans="3:39" x14ac:dyDescent="0.2">
      <c r="C14" s="22" t="s">
        <v>11</v>
      </c>
      <c r="D14" s="44" t="s">
        <v>12</v>
      </c>
    </row>
    <row r="15" spans="3:39" x14ac:dyDescent="0.2">
      <c r="C15" s="22" t="s">
        <v>13</v>
      </c>
      <c r="D15" s="44" t="s">
        <v>14</v>
      </c>
    </row>
    <row r="16" spans="3:39" x14ac:dyDescent="0.2">
      <c r="C16" s="22" t="s">
        <v>15</v>
      </c>
      <c r="D16" s="44" t="s">
        <v>16</v>
      </c>
    </row>
    <row r="19" spans="3:4" x14ac:dyDescent="0.2">
      <c r="C19" s="24" t="s">
        <v>17</v>
      </c>
    </row>
    <row r="20" spans="3:4" x14ac:dyDescent="0.2">
      <c r="C20" s="22" t="s">
        <v>18</v>
      </c>
      <c r="D20" s="44">
        <v>4</v>
      </c>
    </row>
    <row r="21" spans="3:4" x14ac:dyDescent="0.2">
      <c r="C21" s="22" t="s">
        <v>19</v>
      </c>
      <c r="D21" s="44" t="s">
        <v>20</v>
      </c>
    </row>
    <row r="24" spans="3:4" x14ac:dyDescent="0.2">
      <c r="C24" s="24" t="s">
        <v>21</v>
      </c>
    </row>
    <row r="25" spans="3:4" x14ac:dyDescent="0.2">
      <c r="C25" s="74" t="s">
        <v>22</v>
      </c>
      <c r="D25" s="75"/>
    </row>
    <row r="26" spans="3:4" x14ac:dyDescent="0.2">
      <c r="C26" s="22" t="s">
        <v>23</v>
      </c>
      <c r="D26" s="47" t="s">
        <v>24</v>
      </c>
    </row>
    <row r="27" spans="3:4" x14ac:dyDescent="0.2">
      <c r="C27" s="22" t="s">
        <v>25</v>
      </c>
      <c r="D27" s="47" t="s">
        <v>26</v>
      </c>
    </row>
    <row r="28" spans="3:4" x14ac:dyDescent="0.2">
      <c r="C28" s="74" t="s">
        <v>27</v>
      </c>
      <c r="D28" s="75"/>
    </row>
    <row r="29" spans="3:4" x14ac:dyDescent="0.2">
      <c r="C29" s="22" t="s">
        <v>28</v>
      </c>
      <c r="D29" s="47" t="s">
        <v>29</v>
      </c>
    </row>
    <row r="30" spans="3:4" x14ac:dyDescent="0.2">
      <c r="C30" s="22" t="s">
        <v>30</v>
      </c>
      <c r="D30" s="47" t="s">
        <v>31</v>
      </c>
    </row>
    <row r="31" spans="3:4" x14ac:dyDescent="0.2">
      <c r="C31" s="22" t="s">
        <v>32</v>
      </c>
      <c r="D31" s="47" t="s">
        <v>33</v>
      </c>
    </row>
    <row r="32" spans="3:4" x14ac:dyDescent="0.2">
      <c r="C32" s="74" t="s">
        <v>34</v>
      </c>
      <c r="D32" s="75"/>
    </row>
    <row r="33" spans="3:4" ht="16" x14ac:dyDescent="0.2">
      <c r="C33" s="30" t="s">
        <v>35</v>
      </c>
      <c r="D33" s="47" t="s">
        <v>36</v>
      </c>
    </row>
    <row r="34" spans="3:4" x14ac:dyDescent="0.2">
      <c r="C34" s="22" t="s">
        <v>37</v>
      </c>
      <c r="D34" s="47" t="s">
        <v>38</v>
      </c>
    </row>
    <row r="35" spans="3:4" x14ac:dyDescent="0.2">
      <c r="C35" s="74" t="s">
        <v>39</v>
      </c>
      <c r="D35" s="75"/>
    </row>
    <row r="36" spans="3:4" x14ac:dyDescent="0.2">
      <c r="C36" s="22" t="s">
        <v>40</v>
      </c>
      <c r="D36" s="48">
        <v>150</v>
      </c>
    </row>
    <row r="37" spans="3:4" x14ac:dyDescent="0.2">
      <c r="C37" s="22" t="s">
        <v>41</v>
      </c>
      <c r="D37" s="48">
        <v>180</v>
      </c>
    </row>
    <row r="38" spans="3:4" x14ac:dyDescent="0.2">
      <c r="C38" s="22" t="s">
        <v>42</v>
      </c>
      <c r="D38" s="48">
        <v>40</v>
      </c>
    </row>
    <row r="39" spans="3:4" x14ac:dyDescent="0.2">
      <c r="C39" s="31" t="s">
        <v>39</v>
      </c>
      <c r="D39" s="43">
        <f>SUM(D36:D38)</f>
        <v>370</v>
      </c>
    </row>
    <row r="40" spans="3:4" x14ac:dyDescent="0.2">
      <c r="C40" s="32" t="s">
        <v>43</v>
      </c>
      <c r="D40" s="48">
        <f>D39*0.9</f>
        <v>333</v>
      </c>
    </row>
    <row r="41" spans="3:4" x14ac:dyDescent="0.2">
      <c r="C41" s="32" t="s">
        <v>44</v>
      </c>
      <c r="D41" s="48">
        <f>D39*1.1</f>
        <v>407.00000000000006</v>
      </c>
    </row>
  </sheetData>
  <mergeCells count="4">
    <mergeCell ref="C25:D25"/>
    <mergeCell ref="C28:D28"/>
    <mergeCell ref="C35:D35"/>
    <mergeCell ref="C32:D32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17F4-AB0C-2142-95D6-394FCB0A1A6A}">
  <sheetPr>
    <tabColor theme="4" tint="0.59999389629810485"/>
  </sheetPr>
  <dimension ref="C1:AM30"/>
  <sheetViews>
    <sheetView showGridLines="0" zoomScaleNormal="100" workbookViewId="0">
      <pane xSplit="3" topLeftCell="D1" activePane="topRight" state="frozen"/>
      <selection pane="topRight" activeCell="C28" sqref="C28"/>
    </sheetView>
  </sheetViews>
  <sheetFormatPr baseColWidth="10" defaultColWidth="11.5" defaultRowHeight="15" x14ac:dyDescent="0.2"/>
  <cols>
    <col min="3" max="3" width="44" bestFit="1" customWidth="1"/>
  </cols>
  <sheetData>
    <row r="1" spans="3:39" ht="27" customHeight="1" x14ac:dyDescent="0.3">
      <c r="C1" s="16" t="s">
        <v>45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3" spans="3:39" x14ac:dyDescent="0.2">
      <c r="D3" s="18">
        <v>45658</v>
      </c>
      <c r="E3" s="18">
        <v>45689</v>
      </c>
      <c r="F3" s="18">
        <v>45717</v>
      </c>
      <c r="G3" s="18">
        <v>45748</v>
      </c>
      <c r="H3" s="18">
        <v>45778</v>
      </c>
      <c r="I3" s="18">
        <v>45809</v>
      </c>
      <c r="J3" s="18">
        <v>45839</v>
      </c>
      <c r="K3" s="18">
        <v>45870</v>
      </c>
      <c r="L3" s="18">
        <v>45901</v>
      </c>
      <c r="M3" s="18">
        <v>45931</v>
      </c>
      <c r="N3" s="18">
        <v>45962</v>
      </c>
      <c r="O3" s="18">
        <v>45992</v>
      </c>
      <c r="P3" s="18">
        <v>46023</v>
      </c>
      <c r="Q3" s="18">
        <v>46054</v>
      </c>
      <c r="R3" s="18">
        <v>46082</v>
      </c>
      <c r="S3" s="18">
        <v>46113</v>
      </c>
      <c r="T3" s="18">
        <v>46143</v>
      </c>
      <c r="U3" s="18">
        <v>46174</v>
      </c>
      <c r="V3" s="18">
        <v>46204</v>
      </c>
      <c r="W3" s="18">
        <v>46235</v>
      </c>
      <c r="X3" s="18">
        <v>46266</v>
      </c>
      <c r="Y3" s="18">
        <v>46296</v>
      </c>
      <c r="Z3" s="18">
        <v>46327</v>
      </c>
      <c r="AA3" s="18">
        <v>46357</v>
      </c>
      <c r="AB3" s="18">
        <v>46388</v>
      </c>
      <c r="AC3" s="18">
        <v>46419</v>
      </c>
      <c r="AD3" s="18">
        <v>46447</v>
      </c>
      <c r="AE3" s="18">
        <v>46478</v>
      </c>
      <c r="AF3" s="18">
        <v>46508</v>
      </c>
      <c r="AG3" s="18">
        <v>46539</v>
      </c>
      <c r="AH3" s="18">
        <v>46569</v>
      </c>
      <c r="AI3" s="18">
        <v>46600</v>
      </c>
      <c r="AJ3" s="18">
        <v>46631</v>
      </c>
      <c r="AK3" s="18">
        <v>46661</v>
      </c>
      <c r="AL3" s="18">
        <v>46692</v>
      </c>
      <c r="AM3" s="18">
        <v>46722</v>
      </c>
    </row>
    <row r="4" spans="3:39" ht="17" x14ac:dyDescent="0.2">
      <c r="C4" s="11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3:39" x14ac:dyDescent="0.2">
      <c r="C5" s="12" t="s">
        <v>47</v>
      </c>
      <c r="D5" s="27">
        <v>0.05</v>
      </c>
      <c r="E5" s="27">
        <v>0.05</v>
      </c>
      <c r="F5" s="27">
        <v>0.05</v>
      </c>
      <c r="G5" s="27">
        <v>0.05</v>
      </c>
      <c r="H5" s="27">
        <v>0.05</v>
      </c>
      <c r="I5" s="27">
        <v>0.05</v>
      </c>
      <c r="J5" s="27">
        <v>0.05</v>
      </c>
      <c r="K5" s="27">
        <v>0.05</v>
      </c>
      <c r="L5" s="27">
        <v>0.05</v>
      </c>
      <c r="M5" s="27">
        <v>0.05</v>
      </c>
      <c r="N5" s="27">
        <v>0.05</v>
      </c>
      <c r="O5" s="27">
        <v>0.05</v>
      </c>
      <c r="P5" s="27">
        <v>0.05</v>
      </c>
      <c r="Q5" s="27">
        <v>0.05</v>
      </c>
      <c r="R5" s="27">
        <v>0.05</v>
      </c>
      <c r="S5" s="27">
        <v>0.05</v>
      </c>
      <c r="T5" s="27">
        <v>0.05</v>
      </c>
      <c r="U5" s="27">
        <v>0.05</v>
      </c>
      <c r="V5" s="27">
        <v>0.05</v>
      </c>
      <c r="W5" s="27">
        <v>0.05</v>
      </c>
      <c r="X5" s="27">
        <v>0.05</v>
      </c>
      <c r="Y5" s="27">
        <v>0.05</v>
      </c>
      <c r="Z5" s="27">
        <v>0.05</v>
      </c>
      <c r="AA5" s="27">
        <v>0.05</v>
      </c>
      <c r="AB5" s="27">
        <v>0.05</v>
      </c>
      <c r="AC5" s="27">
        <v>0.05</v>
      </c>
      <c r="AD5" s="27">
        <v>0.05</v>
      </c>
      <c r="AE5" s="27">
        <v>0.05</v>
      </c>
      <c r="AF5" s="27">
        <v>0.05</v>
      </c>
      <c r="AG5" s="27">
        <v>0.05</v>
      </c>
      <c r="AH5" s="27">
        <v>0.05</v>
      </c>
      <c r="AI5" s="27">
        <v>0.05</v>
      </c>
      <c r="AJ5" s="27">
        <v>0.05</v>
      </c>
      <c r="AK5" s="27">
        <v>0.05</v>
      </c>
      <c r="AL5" s="27">
        <v>0.05</v>
      </c>
      <c r="AM5" s="27">
        <v>0.05</v>
      </c>
    </row>
    <row r="6" spans="3:39" x14ac:dyDescent="0.2">
      <c r="C6" s="12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</row>
    <row r="7" spans="3:39" x14ac:dyDescent="0.2">
      <c r="C7" s="12" t="s">
        <v>48</v>
      </c>
      <c r="D7" s="19">
        <f>Assumptions!$D$9</f>
        <v>2000</v>
      </c>
      <c r="E7" s="19">
        <f>Assumptions!$D$9</f>
        <v>2000</v>
      </c>
      <c r="F7" s="19">
        <f>Assumptions!$D$9</f>
        <v>2000</v>
      </c>
      <c r="G7" s="19">
        <v>2750</v>
      </c>
      <c r="H7" s="19">
        <v>2750</v>
      </c>
      <c r="I7" s="19">
        <v>2750</v>
      </c>
      <c r="J7" s="19">
        <v>2750</v>
      </c>
      <c r="K7" s="19">
        <v>2750</v>
      </c>
      <c r="L7" s="19">
        <v>2750</v>
      </c>
      <c r="M7" s="19">
        <v>3500</v>
      </c>
      <c r="N7" s="19">
        <v>3500</v>
      </c>
      <c r="O7" s="19">
        <v>3500</v>
      </c>
      <c r="P7" s="19">
        <v>3500</v>
      </c>
      <c r="Q7" s="19">
        <v>3500</v>
      </c>
      <c r="R7" s="19">
        <v>4200</v>
      </c>
      <c r="S7" s="19">
        <v>4200</v>
      </c>
      <c r="T7" s="19">
        <v>4200</v>
      </c>
      <c r="U7" s="19">
        <v>5000</v>
      </c>
      <c r="V7" s="19">
        <v>5000</v>
      </c>
      <c r="W7" s="19">
        <v>5000</v>
      </c>
      <c r="X7" s="19">
        <v>5000</v>
      </c>
      <c r="Y7" s="19">
        <v>5000</v>
      </c>
      <c r="Z7" s="19">
        <v>5000</v>
      </c>
      <c r="AA7" s="19">
        <v>5000</v>
      </c>
      <c r="AB7" s="19">
        <v>5000</v>
      </c>
      <c r="AC7" s="19">
        <f>Assumptions!$D$9</f>
        <v>2000</v>
      </c>
      <c r="AD7" s="19">
        <v>5000</v>
      </c>
      <c r="AE7" s="19">
        <f>Assumptions!$D$9</f>
        <v>2000</v>
      </c>
      <c r="AF7" s="19">
        <v>5000</v>
      </c>
      <c r="AG7" s="19">
        <f>Assumptions!$D$9</f>
        <v>2000</v>
      </c>
      <c r="AH7" s="19">
        <f>Assumptions!$D$9</f>
        <v>2000</v>
      </c>
      <c r="AI7" s="19">
        <v>5000</v>
      </c>
      <c r="AJ7" s="19">
        <v>5000</v>
      </c>
      <c r="AK7" s="19">
        <v>5000</v>
      </c>
      <c r="AL7" s="19">
        <v>5000</v>
      </c>
      <c r="AM7" s="19">
        <v>5000</v>
      </c>
    </row>
    <row r="8" spans="3:39" x14ac:dyDescent="0.2">
      <c r="C8" s="1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3:39" x14ac:dyDescent="0.2">
      <c r="C9" s="12" t="s">
        <v>9</v>
      </c>
      <c r="D9" s="26">
        <f>Assumptions!$D$11</f>
        <v>0.15</v>
      </c>
      <c r="E9" s="26">
        <f>Assumptions!$D$11</f>
        <v>0.15</v>
      </c>
      <c r="F9" s="26">
        <v>0.2</v>
      </c>
      <c r="G9" s="26">
        <f>Assumptions!$D$11</f>
        <v>0.15</v>
      </c>
      <c r="H9" s="26">
        <v>0.2</v>
      </c>
      <c r="I9" s="26">
        <f>Assumptions!$D$11</f>
        <v>0.15</v>
      </c>
      <c r="J9" s="26">
        <f>Assumptions!$D$11</f>
        <v>0.15</v>
      </c>
      <c r="K9" s="26">
        <f>Assumptions!$D$11</f>
        <v>0.15</v>
      </c>
      <c r="L9" s="26">
        <f>Assumptions!$D$11</f>
        <v>0.15</v>
      </c>
      <c r="M9" s="26">
        <f>Assumptions!$D$11</f>
        <v>0.15</v>
      </c>
      <c r="N9" s="26">
        <v>0.2</v>
      </c>
      <c r="O9" s="26">
        <f>Assumptions!$D$11</f>
        <v>0.15</v>
      </c>
      <c r="P9" s="26">
        <f>Assumptions!$D$11</f>
        <v>0.15</v>
      </c>
      <c r="Q9" s="26">
        <f>Assumptions!$D$11</f>
        <v>0.15</v>
      </c>
      <c r="R9" s="26">
        <f>Assumptions!$D$11</f>
        <v>0.15</v>
      </c>
      <c r="S9" s="26">
        <f>Assumptions!$D$11</f>
        <v>0.15</v>
      </c>
      <c r="T9" s="26">
        <v>0.2</v>
      </c>
      <c r="U9" s="26">
        <f>Assumptions!$D$11</f>
        <v>0.15</v>
      </c>
      <c r="V9" s="26">
        <f>Assumptions!$D$11</f>
        <v>0.15</v>
      </c>
      <c r="W9" s="26">
        <f>Assumptions!$D$11</f>
        <v>0.15</v>
      </c>
      <c r="X9" s="26">
        <v>0.2</v>
      </c>
      <c r="Y9" s="26">
        <v>0.35</v>
      </c>
      <c r="Z9" s="26">
        <f>Assumptions!$D$11</f>
        <v>0.15</v>
      </c>
      <c r="AA9" s="26">
        <f>Assumptions!$D$11</f>
        <v>0.15</v>
      </c>
      <c r="AB9" s="26">
        <f>Assumptions!$D$11</f>
        <v>0.15</v>
      </c>
      <c r="AC9" s="26">
        <v>0.2</v>
      </c>
      <c r="AD9" s="26">
        <f>Assumptions!$D$11</f>
        <v>0.15</v>
      </c>
      <c r="AE9" s="26">
        <f>Assumptions!$D$11</f>
        <v>0.15</v>
      </c>
      <c r="AF9" s="26">
        <f>Assumptions!$D$11</f>
        <v>0.15</v>
      </c>
      <c r="AG9" s="26">
        <v>0.2</v>
      </c>
      <c r="AH9" s="26">
        <f>Assumptions!$D$11</f>
        <v>0.15</v>
      </c>
      <c r="AI9" s="26">
        <f>Assumptions!$D$11</f>
        <v>0.15</v>
      </c>
      <c r="AJ9" s="26">
        <f>Assumptions!$D$11</f>
        <v>0.15</v>
      </c>
      <c r="AK9" s="26">
        <f>Assumptions!$D$11</f>
        <v>0.15</v>
      </c>
      <c r="AL9" s="26">
        <v>0.2</v>
      </c>
      <c r="AM9" s="26">
        <f>Assumptions!$D$11</f>
        <v>0.15</v>
      </c>
    </row>
    <row r="10" spans="3:39" x14ac:dyDescent="0.2"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3:39" x14ac:dyDescent="0.2">
      <c r="C11" s="12" t="s">
        <v>49</v>
      </c>
      <c r="D11" s="29">
        <f>Assumptions!$D$10</f>
        <v>370</v>
      </c>
      <c r="E11" s="29">
        <f>Assumptions!$D$10</f>
        <v>370</v>
      </c>
      <c r="F11" s="29">
        <f>Assumptions!$D$10</f>
        <v>370</v>
      </c>
      <c r="G11" s="29">
        <f>Assumptions!$D$10</f>
        <v>370</v>
      </c>
      <c r="H11" s="29">
        <f>Assumptions!$D$10</f>
        <v>370</v>
      </c>
      <c r="I11" s="29">
        <f>Assumptions!$D$10</f>
        <v>370</v>
      </c>
      <c r="J11" s="29">
        <f>Assumptions!$D$10</f>
        <v>370</v>
      </c>
      <c r="K11" s="29">
        <f>Assumptions!$D$10</f>
        <v>370</v>
      </c>
      <c r="L11" s="29">
        <f>Assumptions!$D$10</f>
        <v>370</v>
      </c>
      <c r="M11" s="29">
        <f>Assumptions!$D$10</f>
        <v>370</v>
      </c>
      <c r="N11" s="29">
        <f>Assumptions!$D$10</f>
        <v>370</v>
      </c>
      <c r="O11" s="29">
        <f>Assumptions!$D$10</f>
        <v>370</v>
      </c>
      <c r="P11" s="29">
        <f>Assumptions!$D$10</f>
        <v>370</v>
      </c>
      <c r="Q11" s="29">
        <f>Assumptions!$D$10</f>
        <v>370</v>
      </c>
      <c r="R11" s="29">
        <f>Assumptions!$D$10</f>
        <v>370</v>
      </c>
      <c r="S11" s="29">
        <f>Assumptions!$D$10</f>
        <v>370</v>
      </c>
      <c r="T11" s="29">
        <f>Assumptions!$D$10</f>
        <v>370</v>
      </c>
      <c r="U11" s="29">
        <f>Assumptions!$D$10</f>
        <v>370</v>
      </c>
      <c r="V11" s="29">
        <f>Assumptions!$D$10</f>
        <v>370</v>
      </c>
      <c r="W11" s="29">
        <f>Assumptions!$D$10</f>
        <v>370</v>
      </c>
      <c r="X11" s="29">
        <f>Assumptions!$D$10</f>
        <v>370</v>
      </c>
      <c r="Y11" s="29">
        <f>Assumptions!$D$10</f>
        <v>370</v>
      </c>
      <c r="Z11" s="29">
        <f>Assumptions!$D$10</f>
        <v>370</v>
      </c>
      <c r="AA11" s="29">
        <f>Assumptions!$D$10</f>
        <v>370</v>
      </c>
      <c r="AB11" s="29">
        <f>Assumptions!$D$10</f>
        <v>370</v>
      </c>
      <c r="AC11" s="29">
        <f>Assumptions!$D$10</f>
        <v>370</v>
      </c>
      <c r="AD11" s="29">
        <f>Assumptions!$D$10</f>
        <v>370</v>
      </c>
      <c r="AE11" s="38">
        <f>Assumptions!$D$10</f>
        <v>370</v>
      </c>
      <c r="AF11" s="38">
        <f>Assumptions!$D$10</f>
        <v>370</v>
      </c>
      <c r="AG11" s="38">
        <f>Assumptions!$D$10</f>
        <v>370</v>
      </c>
      <c r="AH11" s="38">
        <f>Assumptions!$D$10</f>
        <v>370</v>
      </c>
      <c r="AI11" s="38">
        <f>Assumptions!$D$10</f>
        <v>370</v>
      </c>
      <c r="AJ11" s="38">
        <f>Assumptions!$D$10</f>
        <v>370</v>
      </c>
      <c r="AK11" s="38">
        <f>Assumptions!$D$10</f>
        <v>370</v>
      </c>
      <c r="AL11" s="38">
        <f>Assumptions!$D$10</f>
        <v>370</v>
      </c>
      <c r="AM11" s="38">
        <f>Assumptions!$D$10</f>
        <v>370</v>
      </c>
    </row>
    <row r="12" spans="3:39" x14ac:dyDescent="0.2">
      <c r="C12" s="12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3:39" x14ac:dyDescent="0.2">
      <c r="C13" s="12" t="s">
        <v>50</v>
      </c>
      <c r="D13" s="19">
        <f>D7*D9</f>
        <v>300</v>
      </c>
      <c r="E13" s="19">
        <f t="shared" ref="E13:AM13" si="0">E7*E9</f>
        <v>300</v>
      </c>
      <c r="F13" s="19">
        <f t="shared" si="0"/>
        <v>400</v>
      </c>
      <c r="G13" s="19">
        <f t="shared" si="0"/>
        <v>412.5</v>
      </c>
      <c r="H13" s="19">
        <f t="shared" si="0"/>
        <v>550</v>
      </c>
      <c r="I13" s="19">
        <f t="shared" si="0"/>
        <v>412.5</v>
      </c>
      <c r="J13" s="19">
        <f t="shared" si="0"/>
        <v>412.5</v>
      </c>
      <c r="K13" s="19">
        <f t="shared" si="0"/>
        <v>412.5</v>
      </c>
      <c r="L13" s="19">
        <f t="shared" si="0"/>
        <v>412.5</v>
      </c>
      <c r="M13" s="19">
        <f t="shared" si="0"/>
        <v>525</v>
      </c>
      <c r="N13" s="19">
        <f t="shared" si="0"/>
        <v>700</v>
      </c>
      <c r="O13" s="19">
        <f t="shared" si="0"/>
        <v>525</v>
      </c>
      <c r="P13" s="19">
        <f t="shared" si="0"/>
        <v>525</v>
      </c>
      <c r="Q13" s="19">
        <f t="shared" si="0"/>
        <v>525</v>
      </c>
      <c r="R13" s="19">
        <f t="shared" si="0"/>
        <v>630</v>
      </c>
      <c r="S13" s="19">
        <f t="shared" si="0"/>
        <v>630</v>
      </c>
      <c r="T13" s="19">
        <f t="shared" si="0"/>
        <v>840</v>
      </c>
      <c r="U13" s="19">
        <f t="shared" si="0"/>
        <v>750</v>
      </c>
      <c r="V13" s="19">
        <f t="shared" si="0"/>
        <v>750</v>
      </c>
      <c r="W13" s="19">
        <f t="shared" si="0"/>
        <v>750</v>
      </c>
      <c r="X13" s="19">
        <f t="shared" si="0"/>
        <v>1000</v>
      </c>
      <c r="Y13" s="19">
        <f t="shared" si="0"/>
        <v>1750</v>
      </c>
      <c r="Z13" s="19">
        <f t="shared" si="0"/>
        <v>750</v>
      </c>
      <c r="AA13" s="19">
        <f t="shared" si="0"/>
        <v>750</v>
      </c>
      <c r="AB13" s="19">
        <f t="shared" si="0"/>
        <v>750</v>
      </c>
      <c r="AC13" s="19">
        <f t="shared" si="0"/>
        <v>400</v>
      </c>
      <c r="AD13" s="19">
        <f t="shared" si="0"/>
        <v>750</v>
      </c>
      <c r="AE13" s="19">
        <f t="shared" si="0"/>
        <v>300</v>
      </c>
      <c r="AF13" s="19">
        <f t="shared" si="0"/>
        <v>750</v>
      </c>
      <c r="AG13" s="19">
        <f t="shared" si="0"/>
        <v>400</v>
      </c>
      <c r="AH13" s="19">
        <f t="shared" si="0"/>
        <v>300</v>
      </c>
      <c r="AI13" s="19">
        <f t="shared" si="0"/>
        <v>750</v>
      </c>
      <c r="AJ13" s="19">
        <f t="shared" si="0"/>
        <v>750</v>
      </c>
      <c r="AK13" s="19">
        <f t="shared" si="0"/>
        <v>750</v>
      </c>
      <c r="AL13" s="19">
        <f t="shared" si="0"/>
        <v>1000</v>
      </c>
      <c r="AM13" s="19">
        <f t="shared" si="0"/>
        <v>750</v>
      </c>
    </row>
    <row r="14" spans="3:39" x14ac:dyDescent="0.2">
      <c r="C14" s="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3:39" x14ac:dyDescent="0.2">
      <c r="C15" s="14" t="s">
        <v>51</v>
      </c>
      <c r="D15" s="20">
        <f>(D13*D11)*D5</f>
        <v>5550</v>
      </c>
      <c r="E15" s="20">
        <f t="shared" ref="E15:AM15" si="1">(E13*E11)*E5</f>
        <v>5550</v>
      </c>
      <c r="F15" s="20">
        <f t="shared" si="1"/>
        <v>7400</v>
      </c>
      <c r="G15" s="20">
        <f t="shared" si="1"/>
        <v>7631.25</v>
      </c>
      <c r="H15" s="20">
        <f t="shared" si="1"/>
        <v>10175</v>
      </c>
      <c r="I15" s="20">
        <f t="shared" si="1"/>
        <v>7631.25</v>
      </c>
      <c r="J15" s="20">
        <f t="shared" si="1"/>
        <v>7631.25</v>
      </c>
      <c r="K15" s="20">
        <f t="shared" si="1"/>
        <v>7631.25</v>
      </c>
      <c r="L15" s="20">
        <f t="shared" si="1"/>
        <v>7631.25</v>
      </c>
      <c r="M15" s="20">
        <f t="shared" si="1"/>
        <v>9712.5</v>
      </c>
      <c r="N15" s="20">
        <f t="shared" si="1"/>
        <v>12950</v>
      </c>
      <c r="O15" s="20">
        <f t="shared" si="1"/>
        <v>9712.5</v>
      </c>
      <c r="P15" s="20">
        <f t="shared" si="1"/>
        <v>9712.5</v>
      </c>
      <c r="Q15" s="20">
        <f t="shared" si="1"/>
        <v>9712.5</v>
      </c>
      <c r="R15" s="20">
        <f t="shared" si="1"/>
        <v>11655</v>
      </c>
      <c r="S15" s="20">
        <f t="shared" si="1"/>
        <v>11655</v>
      </c>
      <c r="T15" s="20">
        <f t="shared" si="1"/>
        <v>15540</v>
      </c>
      <c r="U15" s="20">
        <f t="shared" si="1"/>
        <v>13875</v>
      </c>
      <c r="V15" s="20">
        <f t="shared" si="1"/>
        <v>13875</v>
      </c>
      <c r="W15" s="20">
        <f t="shared" si="1"/>
        <v>13875</v>
      </c>
      <c r="X15" s="20">
        <f t="shared" si="1"/>
        <v>18500</v>
      </c>
      <c r="Y15" s="20">
        <f t="shared" si="1"/>
        <v>32375</v>
      </c>
      <c r="Z15" s="20">
        <f t="shared" si="1"/>
        <v>13875</v>
      </c>
      <c r="AA15" s="20">
        <f t="shared" si="1"/>
        <v>13875</v>
      </c>
      <c r="AB15" s="20">
        <f t="shared" si="1"/>
        <v>13875</v>
      </c>
      <c r="AC15" s="20">
        <f t="shared" si="1"/>
        <v>7400</v>
      </c>
      <c r="AD15" s="20">
        <f t="shared" si="1"/>
        <v>13875</v>
      </c>
      <c r="AE15" s="20">
        <f t="shared" si="1"/>
        <v>5550</v>
      </c>
      <c r="AF15" s="20">
        <f t="shared" si="1"/>
        <v>13875</v>
      </c>
      <c r="AG15" s="20">
        <f t="shared" si="1"/>
        <v>7400</v>
      </c>
      <c r="AH15" s="20">
        <f t="shared" si="1"/>
        <v>5550</v>
      </c>
      <c r="AI15" s="20">
        <f t="shared" si="1"/>
        <v>13875</v>
      </c>
      <c r="AJ15" s="20">
        <f t="shared" si="1"/>
        <v>13875</v>
      </c>
      <c r="AK15" s="20">
        <f t="shared" si="1"/>
        <v>13875</v>
      </c>
      <c r="AL15" s="20">
        <f t="shared" si="1"/>
        <v>18500</v>
      </c>
      <c r="AM15" s="20">
        <f t="shared" si="1"/>
        <v>13875</v>
      </c>
    </row>
    <row r="16" spans="3:39" x14ac:dyDescent="0.2"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3:39" x14ac:dyDescent="0.2">
      <c r="C17" s="14" t="s">
        <v>52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</row>
    <row r="18" spans="3:39" x14ac:dyDescent="0.2">
      <c r="C18" s="1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3:39" x14ac:dyDescent="0.2">
      <c r="C19" s="12" t="s">
        <v>53</v>
      </c>
      <c r="D19" s="20">
        <f>D20+D21</f>
        <v>2800</v>
      </c>
      <c r="E19" s="20">
        <f t="shared" ref="E19:AM19" si="2">E20+E21</f>
        <v>2800</v>
      </c>
      <c r="F19" s="20">
        <f t="shared" si="2"/>
        <v>2300</v>
      </c>
      <c r="G19" s="20">
        <f t="shared" si="2"/>
        <v>2300</v>
      </c>
      <c r="H19" s="20">
        <f t="shared" si="2"/>
        <v>2300</v>
      </c>
      <c r="I19" s="20">
        <f t="shared" si="2"/>
        <v>2300</v>
      </c>
      <c r="J19" s="20">
        <f t="shared" si="2"/>
        <v>2300</v>
      </c>
      <c r="K19" s="20">
        <f t="shared" si="2"/>
        <v>2300</v>
      </c>
      <c r="L19" s="20">
        <f t="shared" si="2"/>
        <v>1800</v>
      </c>
      <c r="M19" s="20">
        <f t="shared" si="2"/>
        <v>1800</v>
      </c>
      <c r="N19" s="20">
        <f t="shared" si="2"/>
        <v>1800</v>
      </c>
      <c r="O19" s="20">
        <f t="shared" si="2"/>
        <v>1800</v>
      </c>
      <c r="P19" s="20">
        <f t="shared" si="2"/>
        <v>1800</v>
      </c>
      <c r="Q19" s="20">
        <f t="shared" si="2"/>
        <v>1800</v>
      </c>
      <c r="R19" s="20">
        <f t="shared" si="2"/>
        <v>1800</v>
      </c>
      <c r="S19" s="20">
        <f t="shared" si="2"/>
        <v>1800</v>
      </c>
      <c r="T19" s="20">
        <f t="shared" si="2"/>
        <v>1800</v>
      </c>
      <c r="U19" s="20">
        <f t="shared" si="2"/>
        <v>1800</v>
      </c>
      <c r="V19" s="20">
        <f t="shared" si="2"/>
        <v>1800</v>
      </c>
      <c r="W19" s="20">
        <f t="shared" si="2"/>
        <v>1800</v>
      </c>
      <c r="X19" s="20">
        <f t="shared" si="2"/>
        <v>1800</v>
      </c>
      <c r="Y19" s="20">
        <f t="shared" si="2"/>
        <v>1800</v>
      </c>
      <c r="Z19" s="20">
        <f t="shared" si="2"/>
        <v>1800</v>
      </c>
      <c r="AA19" s="20">
        <f t="shared" si="2"/>
        <v>1800</v>
      </c>
      <c r="AB19" s="20">
        <f t="shared" si="2"/>
        <v>1800</v>
      </c>
      <c r="AC19" s="20">
        <f t="shared" si="2"/>
        <v>1800</v>
      </c>
      <c r="AD19" s="20">
        <f t="shared" si="2"/>
        <v>1800</v>
      </c>
      <c r="AE19" s="20">
        <f t="shared" si="2"/>
        <v>1800</v>
      </c>
      <c r="AF19" s="20">
        <f t="shared" si="2"/>
        <v>1800</v>
      </c>
      <c r="AG19" s="20">
        <f t="shared" si="2"/>
        <v>1800</v>
      </c>
      <c r="AH19" s="20">
        <f t="shared" si="2"/>
        <v>1800</v>
      </c>
      <c r="AI19" s="20">
        <f t="shared" si="2"/>
        <v>1800</v>
      </c>
      <c r="AJ19" s="20">
        <f t="shared" si="2"/>
        <v>1800</v>
      </c>
      <c r="AK19" s="20">
        <f t="shared" si="2"/>
        <v>1800</v>
      </c>
      <c r="AL19" s="20">
        <f t="shared" si="2"/>
        <v>1800</v>
      </c>
      <c r="AM19" s="20">
        <f t="shared" si="2"/>
        <v>1800</v>
      </c>
    </row>
    <row r="20" spans="3:39" x14ac:dyDescent="0.2">
      <c r="C20" s="15" t="s">
        <v>54</v>
      </c>
      <c r="D20" s="21">
        <v>2000</v>
      </c>
      <c r="E20" s="21">
        <v>2000</v>
      </c>
      <c r="F20" s="21">
        <v>1500</v>
      </c>
      <c r="G20" s="21">
        <v>1500</v>
      </c>
      <c r="H20" s="21">
        <v>1500</v>
      </c>
      <c r="I20" s="21">
        <v>1500</v>
      </c>
      <c r="J20" s="21">
        <v>1500</v>
      </c>
      <c r="K20" s="21">
        <v>1500</v>
      </c>
      <c r="L20" s="21">
        <v>1000</v>
      </c>
      <c r="M20" s="21">
        <v>1000</v>
      </c>
      <c r="N20" s="21">
        <v>1000</v>
      </c>
      <c r="O20" s="21">
        <v>1000</v>
      </c>
      <c r="P20" s="21">
        <v>1000</v>
      </c>
      <c r="Q20" s="21">
        <v>1000</v>
      </c>
      <c r="R20" s="21">
        <v>1000</v>
      </c>
      <c r="S20" s="21">
        <v>1000</v>
      </c>
      <c r="T20" s="21">
        <v>1000</v>
      </c>
      <c r="U20" s="21">
        <v>1000</v>
      </c>
      <c r="V20" s="21">
        <v>1000</v>
      </c>
      <c r="W20" s="21">
        <v>1000</v>
      </c>
      <c r="X20" s="21">
        <v>1000</v>
      </c>
      <c r="Y20" s="21">
        <v>1000</v>
      </c>
      <c r="Z20" s="21">
        <v>1000</v>
      </c>
      <c r="AA20" s="21">
        <v>1000</v>
      </c>
      <c r="AB20" s="21">
        <v>1000</v>
      </c>
      <c r="AC20" s="21">
        <v>1000</v>
      </c>
      <c r="AD20" s="21">
        <v>1000</v>
      </c>
      <c r="AE20" s="21">
        <v>1000</v>
      </c>
      <c r="AF20" s="21">
        <v>1000</v>
      </c>
      <c r="AG20" s="21">
        <v>1000</v>
      </c>
      <c r="AH20" s="21">
        <v>1000</v>
      </c>
      <c r="AI20" s="21">
        <v>1000</v>
      </c>
      <c r="AJ20" s="21">
        <v>1000</v>
      </c>
      <c r="AK20" s="21">
        <v>1000</v>
      </c>
      <c r="AL20" s="21">
        <v>1000</v>
      </c>
      <c r="AM20" s="21">
        <v>1000</v>
      </c>
    </row>
    <row r="21" spans="3:39" x14ac:dyDescent="0.2">
      <c r="C21" s="15" t="s">
        <v>55</v>
      </c>
      <c r="D21" s="21">
        <v>800</v>
      </c>
      <c r="E21" s="21">
        <v>800</v>
      </c>
      <c r="F21" s="21">
        <v>800</v>
      </c>
      <c r="G21" s="21">
        <v>800</v>
      </c>
      <c r="H21" s="21">
        <v>800</v>
      </c>
      <c r="I21" s="21">
        <v>800</v>
      </c>
      <c r="J21" s="21">
        <v>800</v>
      </c>
      <c r="K21" s="21">
        <v>800</v>
      </c>
      <c r="L21" s="21">
        <v>800</v>
      </c>
      <c r="M21" s="21">
        <v>800</v>
      </c>
      <c r="N21" s="21">
        <v>800</v>
      </c>
      <c r="O21" s="21">
        <v>800</v>
      </c>
      <c r="P21" s="21">
        <v>800</v>
      </c>
      <c r="Q21" s="21">
        <v>800</v>
      </c>
      <c r="R21" s="21">
        <v>800</v>
      </c>
      <c r="S21" s="21">
        <v>800</v>
      </c>
      <c r="T21" s="21">
        <v>800</v>
      </c>
      <c r="U21" s="21">
        <v>800</v>
      </c>
      <c r="V21" s="21">
        <v>800</v>
      </c>
      <c r="W21" s="21">
        <v>800</v>
      </c>
      <c r="X21" s="21">
        <v>800</v>
      </c>
      <c r="Y21" s="21">
        <v>800</v>
      </c>
      <c r="Z21" s="21">
        <v>800</v>
      </c>
      <c r="AA21" s="21">
        <v>800</v>
      </c>
      <c r="AB21" s="21">
        <v>800</v>
      </c>
      <c r="AC21" s="21">
        <v>800</v>
      </c>
      <c r="AD21" s="21">
        <v>800</v>
      </c>
      <c r="AE21" s="21">
        <v>800</v>
      </c>
      <c r="AF21" s="21">
        <v>800</v>
      </c>
      <c r="AG21" s="21">
        <v>800</v>
      </c>
      <c r="AH21" s="21">
        <v>800</v>
      </c>
      <c r="AI21" s="21">
        <v>800</v>
      </c>
      <c r="AJ21" s="21">
        <v>800</v>
      </c>
      <c r="AK21" s="21">
        <v>800</v>
      </c>
      <c r="AL21" s="21">
        <v>800</v>
      </c>
      <c r="AM21" s="21">
        <v>800</v>
      </c>
    </row>
    <row r="22" spans="3:39" x14ac:dyDescent="0.2"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3:39" x14ac:dyDescent="0.2">
      <c r="C23" s="12" t="s">
        <v>56</v>
      </c>
      <c r="D23" s="20">
        <v>20</v>
      </c>
      <c r="E23" s="20">
        <v>20</v>
      </c>
      <c r="F23" s="20">
        <v>20</v>
      </c>
      <c r="G23" s="20">
        <v>20</v>
      </c>
      <c r="H23" s="20">
        <v>20</v>
      </c>
      <c r="I23" s="20">
        <v>20</v>
      </c>
      <c r="J23" s="20">
        <v>20</v>
      </c>
      <c r="K23" s="20">
        <v>20</v>
      </c>
      <c r="L23" s="20">
        <v>20</v>
      </c>
      <c r="M23" s="20">
        <v>20</v>
      </c>
      <c r="N23" s="20">
        <v>20</v>
      </c>
      <c r="O23" s="20">
        <v>20</v>
      </c>
      <c r="P23" s="20">
        <v>20</v>
      </c>
      <c r="Q23" s="20">
        <v>20</v>
      </c>
      <c r="R23" s="20">
        <v>20</v>
      </c>
      <c r="S23" s="20">
        <v>20</v>
      </c>
      <c r="T23" s="20">
        <v>20</v>
      </c>
      <c r="U23" s="20">
        <v>20</v>
      </c>
      <c r="V23" s="20">
        <v>20</v>
      </c>
      <c r="W23" s="20">
        <v>20</v>
      </c>
      <c r="X23" s="20">
        <v>20</v>
      </c>
      <c r="Y23" s="20">
        <v>20</v>
      </c>
      <c r="Z23" s="20">
        <v>20</v>
      </c>
      <c r="AA23" s="20">
        <v>20</v>
      </c>
      <c r="AB23" s="20">
        <v>20</v>
      </c>
      <c r="AC23" s="20">
        <v>20</v>
      </c>
      <c r="AD23" s="20">
        <v>20</v>
      </c>
      <c r="AE23" s="20">
        <v>20</v>
      </c>
      <c r="AF23" s="20">
        <v>20</v>
      </c>
      <c r="AG23" s="20">
        <v>20</v>
      </c>
      <c r="AH23" s="20">
        <v>20</v>
      </c>
      <c r="AI23" s="20">
        <v>20</v>
      </c>
      <c r="AJ23" s="20">
        <v>20</v>
      </c>
      <c r="AK23" s="20">
        <v>20</v>
      </c>
      <c r="AL23" s="20">
        <v>20</v>
      </c>
      <c r="AM23" s="20">
        <v>20</v>
      </c>
    </row>
    <row r="24" spans="3:39" x14ac:dyDescent="0.2">
      <c r="C24" s="1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3:39" x14ac:dyDescent="0.2"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3:39" x14ac:dyDescent="0.2">
      <c r="C26" s="12" t="s">
        <v>57</v>
      </c>
      <c r="D26" s="20">
        <f t="shared" ref="D26" si="3">D27+D28</f>
        <v>2100</v>
      </c>
      <c r="E26" s="20">
        <f t="shared" ref="E26:AM26" si="4">E27+E28</f>
        <v>2100</v>
      </c>
      <c r="F26" s="20">
        <f t="shared" si="4"/>
        <v>2100</v>
      </c>
      <c r="G26" s="20">
        <f t="shared" si="4"/>
        <v>2100</v>
      </c>
      <c r="H26" s="20">
        <f t="shared" si="4"/>
        <v>2100</v>
      </c>
      <c r="I26" s="20">
        <f t="shared" si="4"/>
        <v>2100</v>
      </c>
      <c r="J26" s="20">
        <f t="shared" si="4"/>
        <v>2100</v>
      </c>
      <c r="K26" s="20">
        <f t="shared" si="4"/>
        <v>2100</v>
      </c>
      <c r="L26" s="20">
        <f t="shared" si="4"/>
        <v>2100</v>
      </c>
      <c r="M26" s="20">
        <f t="shared" si="4"/>
        <v>2100</v>
      </c>
      <c r="N26" s="20">
        <f t="shared" si="4"/>
        <v>2100</v>
      </c>
      <c r="O26" s="20">
        <f t="shared" si="4"/>
        <v>2100</v>
      </c>
      <c r="P26" s="20">
        <f t="shared" si="4"/>
        <v>2100</v>
      </c>
      <c r="Q26" s="20">
        <f t="shared" si="4"/>
        <v>2100</v>
      </c>
      <c r="R26" s="20">
        <f t="shared" si="4"/>
        <v>2100</v>
      </c>
      <c r="S26" s="20">
        <f t="shared" si="4"/>
        <v>2100</v>
      </c>
      <c r="T26" s="20">
        <f t="shared" si="4"/>
        <v>2100</v>
      </c>
      <c r="U26" s="20">
        <f t="shared" si="4"/>
        <v>2100</v>
      </c>
      <c r="V26" s="20">
        <f t="shared" si="4"/>
        <v>2100</v>
      </c>
      <c r="W26" s="20">
        <f t="shared" si="4"/>
        <v>2100</v>
      </c>
      <c r="X26" s="20">
        <f t="shared" si="4"/>
        <v>2100</v>
      </c>
      <c r="Y26" s="20">
        <f t="shared" si="4"/>
        <v>2100</v>
      </c>
      <c r="Z26" s="20">
        <f t="shared" si="4"/>
        <v>2100</v>
      </c>
      <c r="AA26" s="20">
        <f t="shared" si="4"/>
        <v>2100</v>
      </c>
      <c r="AB26" s="20">
        <f t="shared" si="4"/>
        <v>2100</v>
      </c>
      <c r="AC26" s="20">
        <f t="shared" si="4"/>
        <v>2100</v>
      </c>
      <c r="AD26" s="20">
        <f t="shared" si="4"/>
        <v>2100</v>
      </c>
      <c r="AE26" s="20">
        <f t="shared" si="4"/>
        <v>2100</v>
      </c>
      <c r="AF26" s="20">
        <f t="shared" si="4"/>
        <v>2100</v>
      </c>
      <c r="AG26" s="20">
        <f t="shared" si="4"/>
        <v>2100</v>
      </c>
      <c r="AH26" s="20">
        <f t="shared" si="4"/>
        <v>2100</v>
      </c>
      <c r="AI26" s="20">
        <f t="shared" si="4"/>
        <v>2300</v>
      </c>
      <c r="AJ26" s="20">
        <f t="shared" si="4"/>
        <v>2300</v>
      </c>
      <c r="AK26" s="20">
        <f t="shared" si="4"/>
        <v>2300</v>
      </c>
      <c r="AL26" s="20">
        <f t="shared" si="4"/>
        <v>2300</v>
      </c>
      <c r="AM26" s="20">
        <f t="shared" si="4"/>
        <v>2300</v>
      </c>
    </row>
    <row r="27" spans="3:39" x14ac:dyDescent="0.2">
      <c r="C27" s="15" t="s">
        <v>58</v>
      </c>
      <c r="D27" s="21">
        <v>1800</v>
      </c>
      <c r="E27" s="21">
        <v>1800</v>
      </c>
      <c r="F27" s="21">
        <v>1800</v>
      </c>
      <c r="G27" s="21">
        <v>1800</v>
      </c>
      <c r="H27" s="21">
        <v>1800</v>
      </c>
      <c r="I27" s="21">
        <v>1800</v>
      </c>
      <c r="J27" s="21">
        <v>1800</v>
      </c>
      <c r="K27" s="21">
        <v>1800</v>
      </c>
      <c r="L27" s="21">
        <v>1800</v>
      </c>
      <c r="M27" s="21">
        <v>1800</v>
      </c>
      <c r="N27" s="21">
        <v>1800</v>
      </c>
      <c r="O27" s="21">
        <v>1800</v>
      </c>
      <c r="P27" s="21">
        <v>1800</v>
      </c>
      <c r="Q27" s="21">
        <v>1800</v>
      </c>
      <c r="R27" s="21">
        <v>1800</v>
      </c>
      <c r="S27" s="21">
        <v>1800</v>
      </c>
      <c r="T27" s="21">
        <v>1800</v>
      </c>
      <c r="U27" s="21">
        <v>1800</v>
      </c>
      <c r="V27" s="21">
        <v>1800</v>
      </c>
      <c r="W27" s="21">
        <v>1800</v>
      </c>
      <c r="X27" s="21">
        <v>1800</v>
      </c>
      <c r="Y27" s="21">
        <v>1800</v>
      </c>
      <c r="Z27" s="21">
        <v>1800</v>
      </c>
      <c r="AA27" s="21">
        <v>1800</v>
      </c>
      <c r="AB27" s="21">
        <v>1800</v>
      </c>
      <c r="AC27" s="21">
        <v>1800</v>
      </c>
      <c r="AD27" s="21">
        <v>1800</v>
      </c>
      <c r="AE27" s="21">
        <v>1800</v>
      </c>
      <c r="AF27" s="21">
        <v>1800</v>
      </c>
      <c r="AG27" s="21">
        <v>1800</v>
      </c>
      <c r="AH27" s="21">
        <v>1800</v>
      </c>
      <c r="AI27" s="21">
        <v>2000</v>
      </c>
      <c r="AJ27" s="21">
        <v>2000</v>
      </c>
      <c r="AK27" s="21">
        <v>2000</v>
      </c>
      <c r="AL27" s="21">
        <v>2000</v>
      </c>
      <c r="AM27" s="21">
        <v>2000</v>
      </c>
    </row>
    <row r="28" spans="3:39" x14ac:dyDescent="0.2">
      <c r="C28" s="15" t="s">
        <v>59</v>
      </c>
      <c r="D28" s="21">
        <v>300</v>
      </c>
      <c r="E28" s="21">
        <v>300</v>
      </c>
      <c r="F28" s="21">
        <v>300</v>
      </c>
      <c r="G28" s="21">
        <v>300</v>
      </c>
      <c r="H28" s="21">
        <v>300</v>
      </c>
      <c r="I28" s="21">
        <v>300</v>
      </c>
      <c r="J28" s="21">
        <v>300</v>
      </c>
      <c r="K28" s="21">
        <v>300</v>
      </c>
      <c r="L28" s="21">
        <v>300</v>
      </c>
      <c r="M28" s="21">
        <v>300</v>
      </c>
      <c r="N28" s="21">
        <v>300</v>
      </c>
      <c r="O28" s="21">
        <v>300</v>
      </c>
      <c r="P28" s="21">
        <v>300</v>
      </c>
      <c r="Q28" s="21">
        <v>300</v>
      </c>
      <c r="R28" s="21">
        <v>300</v>
      </c>
      <c r="S28" s="21">
        <v>300</v>
      </c>
      <c r="T28" s="21">
        <v>300</v>
      </c>
      <c r="U28" s="21">
        <v>300</v>
      </c>
      <c r="V28" s="21">
        <v>300</v>
      </c>
      <c r="W28" s="21">
        <v>300</v>
      </c>
      <c r="X28" s="21">
        <v>300</v>
      </c>
      <c r="Y28" s="21">
        <v>300</v>
      </c>
      <c r="Z28" s="21">
        <v>300</v>
      </c>
      <c r="AA28" s="21">
        <v>300</v>
      </c>
      <c r="AB28" s="21">
        <v>300</v>
      </c>
      <c r="AC28" s="21">
        <v>300</v>
      </c>
      <c r="AD28" s="21">
        <v>300</v>
      </c>
      <c r="AE28" s="21">
        <v>300</v>
      </c>
      <c r="AF28" s="21">
        <v>300</v>
      </c>
      <c r="AG28" s="21">
        <v>300</v>
      </c>
      <c r="AH28" s="21">
        <v>300</v>
      </c>
      <c r="AI28" s="21">
        <v>300</v>
      </c>
      <c r="AJ28" s="21">
        <v>300</v>
      </c>
      <c r="AK28" s="21">
        <v>300</v>
      </c>
      <c r="AL28" s="21">
        <v>300</v>
      </c>
      <c r="AM28" s="21">
        <v>300</v>
      </c>
    </row>
    <row r="29" spans="3:39" x14ac:dyDescent="0.2">
      <c r="C29" s="1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3:39" x14ac:dyDescent="0.2">
      <c r="C30" s="12" t="s">
        <v>60</v>
      </c>
      <c r="D30" s="20">
        <f t="shared" ref="D30:AM30" si="5">D15-D17-D19-D23-D26</f>
        <v>630</v>
      </c>
      <c r="E30" s="20">
        <f t="shared" si="5"/>
        <v>630</v>
      </c>
      <c r="F30" s="20">
        <f t="shared" si="5"/>
        <v>2980</v>
      </c>
      <c r="G30" s="20">
        <f t="shared" si="5"/>
        <v>3211.25</v>
      </c>
      <c r="H30" s="20">
        <f t="shared" si="5"/>
        <v>5755</v>
      </c>
      <c r="I30" s="20">
        <f t="shared" si="5"/>
        <v>3211.25</v>
      </c>
      <c r="J30" s="20">
        <f t="shared" si="5"/>
        <v>3211.25</v>
      </c>
      <c r="K30" s="20">
        <f t="shared" si="5"/>
        <v>3211.25</v>
      </c>
      <c r="L30" s="20">
        <f t="shared" si="5"/>
        <v>3711.25</v>
      </c>
      <c r="M30" s="20">
        <f t="shared" si="5"/>
        <v>5792.5</v>
      </c>
      <c r="N30" s="20">
        <f t="shared" si="5"/>
        <v>9030</v>
      </c>
      <c r="O30" s="20">
        <f t="shared" si="5"/>
        <v>5792.5</v>
      </c>
      <c r="P30" s="20">
        <f t="shared" si="5"/>
        <v>5792.5</v>
      </c>
      <c r="Q30" s="20">
        <f t="shared" si="5"/>
        <v>5792.5</v>
      </c>
      <c r="R30" s="20">
        <f t="shared" si="5"/>
        <v>7735</v>
      </c>
      <c r="S30" s="20">
        <f t="shared" si="5"/>
        <v>7735</v>
      </c>
      <c r="T30" s="20">
        <f t="shared" si="5"/>
        <v>11620</v>
      </c>
      <c r="U30" s="20">
        <f t="shared" si="5"/>
        <v>9955</v>
      </c>
      <c r="V30" s="20">
        <f t="shared" si="5"/>
        <v>9955</v>
      </c>
      <c r="W30" s="20">
        <f t="shared" si="5"/>
        <v>9955</v>
      </c>
      <c r="X30" s="20">
        <f t="shared" si="5"/>
        <v>14580</v>
      </c>
      <c r="Y30" s="20">
        <f t="shared" si="5"/>
        <v>28455</v>
      </c>
      <c r="Z30" s="20">
        <f t="shared" si="5"/>
        <v>9955</v>
      </c>
      <c r="AA30" s="20">
        <f t="shared" si="5"/>
        <v>9955</v>
      </c>
      <c r="AB30" s="20">
        <f t="shared" si="5"/>
        <v>9955</v>
      </c>
      <c r="AC30" s="20">
        <f t="shared" si="5"/>
        <v>3480</v>
      </c>
      <c r="AD30" s="20">
        <f t="shared" si="5"/>
        <v>9955</v>
      </c>
      <c r="AE30" s="20">
        <f t="shared" si="5"/>
        <v>1630</v>
      </c>
      <c r="AF30" s="20">
        <f t="shared" si="5"/>
        <v>9955</v>
      </c>
      <c r="AG30" s="20">
        <f t="shared" si="5"/>
        <v>3480</v>
      </c>
      <c r="AH30" s="20">
        <f t="shared" si="5"/>
        <v>1630</v>
      </c>
      <c r="AI30" s="20">
        <f t="shared" si="5"/>
        <v>9755</v>
      </c>
      <c r="AJ30" s="20">
        <f t="shared" si="5"/>
        <v>9755</v>
      </c>
      <c r="AK30" s="20">
        <f t="shared" si="5"/>
        <v>9755</v>
      </c>
      <c r="AL30" s="20">
        <f t="shared" si="5"/>
        <v>14380</v>
      </c>
      <c r="AM30" s="20">
        <f t="shared" si="5"/>
        <v>9755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5E63-A848-5B44-9272-14B71F19DB93}">
  <sheetPr>
    <tabColor theme="4" tint="0.39997558519241921"/>
  </sheetPr>
  <dimension ref="C1:AM25"/>
  <sheetViews>
    <sheetView showGridLines="0" workbookViewId="0">
      <selection activeCell="C5" sqref="C5"/>
    </sheetView>
  </sheetViews>
  <sheetFormatPr baseColWidth="10" defaultColWidth="11.5" defaultRowHeight="15" x14ac:dyDescent="0.2"/>
  <cols>
    <col min="3" max="3" width="29.33203125" customWidth="1"/>
    <col min="4" max="4" width="16.33203125" customWidth="1"/>
    <col min="5" max="5" width="18" customWidth="1"/>
    <col min="6" max="6" width="15.83203125" customWidth="1"/>
    <col min="14" max="14" width="19.5" bestFit="1" customWidth="1"/>
    <col min="15" max="15" width="16.6640625" bestFit="1" customWidth="1"/>
    <col min="16" max="16" width="15" bestFit="1" customWidth="1"/>
    <col min="17" max="17" width="17.6640625" customWidth="1"/>
  </cols>
  <sheetData>
    <row r="1" spans="3:39" ht="27" customHeight="1" x14ac:dyDescent="0.3">
      <c r="C1" s="16" t="s">
        <v>61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5" spans="3:39" x14ac:dyDescent="0.2">
      <c r="C5" s="22" t="s">
        <v>62</v>
      </c>
      <c r="D5" s="33">
        <v>0.05</v>
      </c>
    </row>
    <row r="6" spans="3:39" x14ac:dyDescent="0.2">
      <c r="C6" s="22" t="s">
        <v>63</v>
      </c>
      <c r="D6" s="34">
        <v>370</v>
      </c>
    </row>
    <row r="7" spans="3:39" x14ac:dyDescent="0.2">
      <c r="C7" s="22" t="s">
        <v>64</v>
      </c>
      <c r="D7" s="34">
        <f>D5*D6</f>
        <v>18.5</v>
      </c>
    </row>
    <row r="8" spans="3:39" x14ac:dyDescent="0.2">
      <c r="C8" s="22" t="s">
        <v>65</v>
      </c>
      <c r="D8" s="34">
        <f>'P&amp;L'!D23+'P&amp;L'!D21+'P&amp;L'!D27+'P&amp;L'!D28</f>
        <v>2920</v>
      </c>
    </row>
    <row r="10" spans="3:39" ht="32" x14ac:dyDescent="0.2">
      <c r="C10" s="30" t="s">
        <v>66</v>
      </c>
      <c r="D10" s="35">
        <f>ROUNDUP(D8/D7,0.75)</f>
        <v>158</v>
      </c>
    </row>
    <row r="13" spans="3:39" x14ac:dyDescent="0.2">
      <c r="C13" s="49" t="s">
        <v>67</v>
      </c>
      <c r="D13" s="49" t="s">
        <v>68</v>
      </c>
      <c r="E13" s="49" t="s">
        <v>69</v>
      </c>
      <c r="F13" s="49" t="s">
        <v>70</v>
      </c>
    </row>
    <row r="14" spans="3:39" x14ac:dyDescent="0.2">
      <c r="C14" s="36">
        <v>0</v>
      </c>
      <c r="D14" s="36">
        <v>0</v>
      </c>
      <c r="E14" s="37">
        <f>$D$8</f>
        <v>2920</v>
      </c>
      <c r="F14" s="37">
        <f>D14-E14</f>
        <v>-2920</v>
      </c>
    </row>
    <row r="15" spans="3:39" x14ac:dyDescent="0.2">
      <c r="C15" s="36">
        <v>50</v>
      </c>
      <c r="D15" s="37">
        <f>C15*$D$6*$D$5</f>
        <v>925</v>
      </c>
      <c r="E15" s="37">
        <f t="shared" ref="E15:E20" si="0">$D$8</f>
        <v>2920</v>
      </c>
      <c r="F15" s="37">
        <f t="shared" ref="F15:F20" si="1">D15-E15</f>
        <v>-1995</v>
      </c>
    </row>
    <row r="16" spans="3:39" x14ac:dyDescent="0.2">
      <c r="C16" s="36">
        <v>100</v>
      </c>
      <c r="D16" s="37">
        <f t="shared" ref="D16:D20" si="2">C16*$D$6*$D$5</f>
        <v>1850</v>
      </c>
      <c r="E16" s="37">
        <f t="shared" si="0"/>
        <v>2920</v>
      </c>
      <c r="F16" s="37">
        <f t="shared" si="1"/>
        <v>-1070</v>
      </c>
    </row>
    <row r="17" spans="3:12" x14ac:dyDescent="0.2">
      <c r="C17" s="36">
        <v>150</v>
      </c>
      <c r="D17" s="37">
        <f t="shared" si="2"/>
        <v>2775</v>
      </c>
      <c r="E17" s="37">
        <f t="shared" si="0"/>
        <v>2920</v>
      </c>
      <c r="F17" s="37">
        <f t="shared" si="1"/>
        <v>-145</v>
      </c>
    </row>
    <row r="18" spans="3:12" x14ac:dyDescent="0.2">
      <c r="C18" s="36">
        <v>158</v>
      </c>
      <c r="D18" s="37">
        <f t="shared" si="2"/>
        <v>2923</v>
      </c>
      <c r="E18" s="37">
        <f t="shared" si="0"/>
        <v>2920</v>
      </c>
      <c r="F18" s="37">
        <f t="shared" si="1"/>
        <v>3</v>
      </c>
    </row>
    <row r="19" spans="3:12" x14ac:dyDescent="0.2">
      <c r="C19" s="36">
        <v>200</v>
      </c>
      <c r="D19" s="37">
        <f t="shared" si="2"/>
        <v>3700</v>
      </c>
      <c r="E19" s="37">
        <f t="shared" si="0"/>
        <v>2920</v>
      </c>
      <c r="F19" s="37">
        <f t="shared" si="1"/>
        <v>780</v>
      </c>
    </row>
    <row r="20" spans="3:12" x14ac:dyDescent="0.2">
      <c r="C20" s="36">
        <v>300</v>
      </c>
      <c r="D20" s="37">
        <f t="shared" si="2"/>
        <v>5550</v>
      </c>
      <c r="E20" s="37">
        <f t="shared" si="0"/>
        <v>2920</v>
      </c>
      <c r="F20" s="37">
        <f t="shared" si="1"/>
        <v>2630</v>
      </c>
    </row>
    <row r="25" spans="3:12" ht="16" thickBot="1" x14ac:dyDescent="0.25">
      <c r="C25" s="50" t="s">
        <v>66</v>
      </c>
      <c r="D25" s="42"/>
      <c r="E25" s="42"/>
      <c r="F25" s="42"/>
      <c r="G25" s="42"/>
      <c r="H25" s="42"/>
      <c r="I25" s="42"/>
      <c r="J25" s="42"/>
      <c r="K25" s="42"/>
      <c r="L25" s="4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159D-A189-D54D-9DB5-43AB27EB1387}">
  <sheetPr>
    <tabColor theme="4" tint="-0.249977111117893"/>
  </sheetPr>
  <dimension ref="C1:AM16"/>
  <sheetViews>
    <sheetView showGridLines="0" workbookViewId="0">
      <selection activeCell="D5" sqref="D5"/>
    </sheetView>
  </sheetViews>
  <sheetFormatPr baseColWidth="10" defaultColWidth="11.5" defaultRowHeight="15" x14ac:dyDescent="0.2"/>
  <cols>
    <col min="3" max="3" width="24.33203125" customWidth="1"/>
    <col min="4" max="4" width="14.6640625" customWidth="1"/>
  </cols>
  <sheetData>
    <row r="1" spans="3:39" ht="27" customHeight="1" x14ac:dyDescent="0.3">
      <c r="C1" s="16" t="s">
        <v>71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5" spans="3:39" x14ac:dyDescent="0.2">
      <c r="D5" s="18">
        <v>45658</v>
      </c>
      <c r="E5" s="18">
        <v>45689</v>
      </c>
      <c r="F5" s="18">
        <v>45717</v>
      </c>
      <c r="G5" s="18">
        <v>45748</v>
      </c>
      <c r="H5" s="18">
        <v>45778</v>
      </c>
      <c r="I5" s="18">
        <v>45809</v>
      </c>
      <c r="J5" s="18">
        <v>45839</v>
      </c>
      <c r="K5" s="18">
        <v>45870</v>
      </c>
      <c r="L5" s="18">
        <v>45901</v>
      </c>
      <c r="M5" s="18">
        <v>45931</v>
      </c>
      <c r="N5" s="18">
        <v>45962</v>
      </c>
      <c r="O5" s="18">
        <v>45992</v>
      </c>
      <c r="P5" s="18">
        <v>46023</v>
      </c>
      <c r="Q5" s="18">
        <v>46054</v>
      </c>
      <c r="R5" s="18">
        <v>46082</v>
      </c>
      <c r="S5" s="18">
        <v>46113</v>
      </c>
      <c r="T5" s="18">
        <v>46143</v>
      </c>
      <c r="U5" s="18">
        <v>46174</v>
      </c>
      <c r="V5" s="18">
        <v>46204</v>
      </c>
      <c r="W5" s="18">
        <v>46235</v>
      </c>
      <c r="X5" s="18">
        <v>46266</v>
      </c>
      <c r="Y5" s="18">
        <v>46296</v>
      </c>
      <c r="Z5" s="18">
        <v>46327</v>
      </c>
      <c r="AA5" s="18">
        <v>46357</v>
      </c>
      <c r="AB5" s="18">
        <v>46388</v>
      </c>
      <c r="AC5" s="18">
        <v>46419</v>
      </c>
      <c r="AD5" s="18">
        <v>46447</v>
      </c>
      <c r="AE5" s="18">
        <v>46478</v>
      </c>
      <c r="AF5" s="18">
        <v>46508</v>
      </c>
      <c r="AG5" s="18">
        <v>46539</v>
      </c>
      <c r="AH5" s="18">
        <v>46569</v>
      </c>
      <c r="AI5" s="18">
        <v>46600</v>
      </c>
      <c r="AJ5" s="18">
        <v>46631</v>
      </c>
      <c r="AK5" s="18">
        <v>46661</v>
      </c>
      <c r="AL5" s="18">
        <v>46692</v>
      </c>
      <c r="AM5" s="18">
        <v>46722</v>
      </c>
    </row>
    <row r="6" spans="3:39" ht="17" x14ac:dyDescent="0.2">
      <c r="C6" s="11" t="s">
        <v>72</v>
      </c>
    </row>
    <row r="7" spans="3:39" x14ac:dyDescent="0.2">
      <c r="C7" s="51" t="s">
        <v>73</v>
      </c>
      <c r="D7" s="39">
        <f>'P&amp;L'!D20</f>
        <v>2000</v>
      </c>
      <c r="E7" s="39">
        <f>'P&amp;L'!E20</f>
        <v>2000</v>
      </c>
      <c r="F7" s="39">
        <f>'P&amp;L'!F20</f>
        <v>1500</v>
      </c>
      <c r="G7" s="39">
        <f>'P&amp;L'!G20</f>
        <v>1500</v>
      </c>
      <c r="H7" s="39">
        <f>'P&amp;L'!H20</f>
        <v>1500</v>
      </c>
      <c r="I7" s="39">
        <f>'P&amp;L'!I20</f>
        <v>1500</v>
      </c>
      <c r="J7" s="39">
        <f>'P&amp;L'!J20</f>
        <v>1500</v>
      </c>
      <c r="K7" s="39">
        <f>'P&amp;L'!K20</f>
        <v>1500</v>
      </c>
      <c r="L7" s="39">
        <f>'P&amp;L'!L20</f>
        <v>1000</v>
      </c>
      <c r="M7" s="39">
        <f>'P&amp;L'!M20</f>
        <v>1000</v>
      </c>
      <c r="N7" s="39">
        <f>'P&amp;L'!N20</f>
        <v>1000</v>
      </c>
      <c r="O7" s="39">
        <f>'P&amp;L'!O20</f>
        <v>1000</v>
      </c>
      <c r="P7" s="39">
        <f>'P&amp;L'!P20</f>
        <v>1000</v>
      </c>
      <c r="Q7" s="39">
        <f>'P&amp;L'!Q20</f>
        <v>1000</v>
      </c>
      <c r="R7" s="39">
        <f>'P&amp;L'!R20</f>
        <v>1000</v>
      </c>
      <c r="S7" s="39">
        <f>'P&amp;L'!S20</f>
        <v>1000</v>
      </c>
      <c r="T7" s="39">
        <f>'P&amp;L'!T20</f>
        <v>1000</v>
      </c>
      <c r="U7" s="39">
        <f>'P&amp;L'!U20</f>
        <v>1000</v>
      </c>
      <c r="V7" s="39">
        <f>'P&amp;L'!V20</f>
        <v>1000</v>
      </c>
      <c r="W7" s="39">
        <f>'P&amp;L'!W20</f>
        <v>1000</v>
      </c>
      <c r="X7" s="39">
        <f>'P&amp;L'!X20</f>
        <v>1000</v>
      </c>
      <c r="Y7" s="39">
        <f>'P&amp;L'!Y20</f>
        <v>1000</v>
      </c>
      <c r="Z7" s="39">
        <f>'P&amp;L'!Z20</f>
        <v>1000</v>
      </c>
      <c r="AA7" s="39">
        <f>'P&amp;L'!AA20</f>
        <v>1000</v>
      </c>
      <c r="AB7" s="39">
        <f>'P&amp;L'!AB20</f>
        <v>1000</v>
      </c>
      <c r="AC7" s="39">
        <f>'P&amp;L'!AC20</f>
        <v>1000</v>
      </c>
      <c r="AD7" s="39">
        <f>'P&amp;L'!AD20</f>
        <v>1000</v>
      </c>
      <c r="AE7" s="39">
        <f>'P&amp;L'!AE20</f>
        <v>1000</v>
      </c>
      <c r="AF7" s="39">
        <f>'P&amp;L'!AF20</f>
        <v>1000</v>
      </c>
      <c r="AG7" s="39">
        <f>'P&amp;L'!AG20</f>
        <v>1000</v>
      </c>
      <c r="AH7" s="39">
        <f>'P&amp;L'!AH20</f>
        <v>1000</v>
      </c>
      <c r="AI7" s="39">
        <f>'P&amp;L'!AI20</f>
        <v>1000</v>
      </c>
      <c r="AJ7" s="39">
        <f>'P&amp;L'!AJ20</f>
        <v>1000</v>
      </c>
      <c r="AK7" s="39">
        <f>'P&amp;L'!AK20</f>
        <v>1000</v>
      </c>
      <c r="AL7" s="39">
        <f>'P&amp;L'!AL20</f>
        <v>1000</v>
      </c>
      <c r="AM7" s="39">
        <f>'P&amp;L'!AM20</f>
        <v>1000</v>
      </c>
    </row>
    <row r="9" spans="3:39" x14ac:dyDescent="0.2">
      <c r="C9" s="51" t="s">
        <v>74</v>
      </c>
      <c r="D9" s="40">
        <f>'P&amp;L'!D7*'P&amp;L'!D9</f>
        <v>300</v>
      </c>
      <c r="E9" s="40">
        <f>'P&amp;L'!E7*'P&amp;L'!E9</f>
        <v>300</v>
      </c>
      <c r="F9" s="40">
        <f>'P&amp;L'!F7*'P&amp;L'!F9</f>
        <v>400</v>
      </c>
      <c r="G9" s="40">
        <f>'P&amp;L'!G7*'P&amp;L'!G9</f>
        <v>412.5</v>
      </c>
      <c r="H9" s="40">
        <f>'P&amp;L'!H7*'P&amp;L'!H9</f>
        <v>550</v>
      </c>
      <c r="I9" s="40">
        <f>'P&amp;L'!I7*'P&amp;L'!I9</f>
        <v>412.5</v>
      </c>
      <c r="J9" s="40">
        <f>'P&amp;L'!J7*'P&amp;L'!J9</f>
        <v>412.5</v>
      </c>
      <c r="K9" s="40">
        <f>'P&amp;L'!K7*'P&amp;L'!K9</f>
        <v>412.5</v>
      </c>
      <c r="L9" s="40">
        <f>'P&amp;L'!L7*'P&amp;L'!L9</f>
        <v>412.5</v>
      </c>
      <c r="M9" s="40">
        <f>'P&amp;L'!M7*'P&amp;L'!M9</f>
        <v>525</v>
      </c>
      <c r="N9" s="40">
        <f>'P&amp;L'!N7*'P&amp;L'!N9</f>
        <v>700</v>
      </c>
      <c r="O9" s="40">
        <f>'P&amp;L'!O7*'P&amp;L'!O9</f>
        <v>525</v>
      </c>
      <c r="P9" s="40">
        <f>'P&amp;L'!P7*'P&amp;L'!P9</f>
        <v>525</v>
      </c>
      <c r="Q9" s="40">
        <f>'P&amp;L'!Q7*'P&amp;L'!Q9</f>
        <v>525</v>
      </c>
      <c r="R9" s="40">
        <f>'P&amp;L'!R7*'P&amp;L'!R9</f>
        <v>630</v>
      </c>
      <c r="S9" s="40">
        <f>'P&amp;L'!S7*'P&amp;L'!S9</f>
        <v>630</v>
      </c>
      <c r="T9" s="40">
        <f>'P&amp;L'!T7*'P&amp;L'!T9</f>
        <v>840</v>
      </c>
      <c r="U9" s="40">
        <f>'P&amp;L'!U7*'P&amp;L'!U9</f>
        <v>750</v>
      </c>
      <c r="V9" s="40">
        <f>'P&amp;L'!V7*'P&amp;L'!V9</f>
        <v>750</v>
      </c>
      <c r="W9" s="40">
        <f>'P&amp;L'!W7*'P&amp;L'!W9</f>
        <v>750</v>
      </c>
      <c r="X9" s="40">
        <f>'P&amp;L'!X7*'P&amp;L'!X9</f>
        <v>1000</v>
      </c>
      <c r="Y9" s="40">
        <f>'P&amp;L'!Y7*'P&amp;L'!Y9</f>
        <v>1750</v>
      </c>
      <c r="Z9" s="40">
        <f>'P&amp;L'!Z7*'P&amp;L'!Z9</f>
        <v>750</v>
      </c>
      <c r="AA9" s="40">
        <f>'P&amp;L'!AA7*'P&amp;L'!AA9</f>
        <v>750</v>
      </c>
      <c r="AB9" s="40">
        <f>'P&amp;L'!AB7*'P&amp;L'!AB9</f>
        <v>750</v>
      </c>
      <c r="AC9" s="40">
        <f>'P&amp;L'!AC7*'P&amp;L'!AC9</f>
        <v>400</v>
      </c>
      <c r="AD9" s="40">
        <f>'P&amp;L'!AD7*'P&amp;L'!AD9</f>
        <v>750</v>
      </c>
      <c r="AE9" s="40">
        <f>'P&amp;L'!AE7*'P&amp;L'!AE9</f>
        <v>300</v>
      </c>
      <c r="AF9" s="40">
        <f>'P&amp;L'!AF7*'P&amp;L'!AF9</f>
        <v>750</v>
      </c>
      <c r="AG9" s="40">
        <f>'P&amp;L'!AG7*'P&amp;L'!AG9</f>
        <v>400</v>
      </c>
      <c r="AH9" s="40">
        <f>'P&amp;L'!AH7*'P&amp;L'!AH9</f>
        <v>300</v>
      </c>
      <c r="AI9" s="40">
        <f>'P&amp;L'!AI7*'P&amp;L'!AI9</f>
        <v>750</v>
      </c>
      <c r="AJ9" s="40">
        <f>'P&amp;L'!AJ7*'P&amp;L'!AJ9</f>
        <v>750</v>
      </c>
      <c r="AK9" s="40">
        <f>'P&amp;L'!AK7*'P&amp;L'!AK9</f>
        <v>750</v>
      </c>
      <c r="AL9" s="40">
        <f>'P&amp;L'!AL7*'P&amp;L'!AL9</f>
        <v>1000</v>
      </c>
      <c r="AM9" s="40">
        <f>'P&amp;L'!AM7*'P&amp;L'!AM9</f>
        <v>750</v>
      </c>
    </row>
    <row r="11" spans="3:39" x14ac:dyDescent="0.2">
      <c r="C11" s="51" t="s">
        <v>75</v>
      </c>
      <c r="D11" s="41">
        <f>D7/D9</f>
        <v>6.666666666666667</v>
      </c>
      <c r="E11" s="41">
        <f t="shared" ref="E11:AM11" si="0">E7/E9</f>
        <v>6.666666666666667</v>
      </c>
      <c r="F11" s="41">
        <f t="shared" si="0"/>
        <v>3.75</v>
      </c>
      <c r="G11" s="41">
        <f t="shared" si="0"/>
        <v>3.6363636363636362</v>
      </c>
      <c r="H11" s="41">
        <f t="shared" si="0"/>
        <v>2.7272727272727271</v>
      </c>
      <c r="I11" s="41">
        <f t="shared" si="0"/>
        <v>3.6363636363636362</v>
      </c>
      <c r="J11" s="41">
        <f t="shared" si="0"/>
        <v>3.6363636363636362</v>
      </c>
      <c r="K11" s="41">
        <f t="shared" si="0"/>
        <v>3.6363636363636362</v>
      </c>
      <c r="L11" s="41">
        <f t="shared" si="0"/>
        <v>2.4242424242424243</v>
      </c>
      <c r="M11" s="41">
        <f t="shared" si="0"/>
        <v>1.9047619047619047</v>
      </c>
      <c r="N11" s="41">
        <f t="shared" si="0"/>
        <v>1.4285714285714286</v>
      </c>
      <c r="O11" s="41">
        <f t="shared" si="0"/>
        <v>1.9047619047619047</v>
      </c>
      <c r="P11" s="41">
        <f t="shared" si="0"/>
        <v>1.9047619047619047</v>
      </c>
      <c r="Q11" s="41">
        <f t="shared" si="0"/>
        <v>1.9047619047619047</v>
      </c>
      <c r="R11" s="41">
        <f t="shared" si="0"/>
        <v>1.5873015873015872</v>
      </c>
      <c r="S11" s="41">
        <f t="shared" si="0"/>
        <v>1.5873015873015872</v>
      </c>
      <c r="T11" s="41">
        <f t="shared" si="0"/>
        <v>1.1904761904761905</v>
      </c>
      <c r="U11" s="41">
        <f t="shared" si="0"/>
        <v>1.3333333333333333</v>
      </c>
      <c r="V11" s="41">
        <f t="shared" si="0"/>
        <v>1.3333333333333333</v>
      </c>
      <c r="W11" s="41">
        <f t="shared" si="0"/>
        <v>1.3333333333333333</v>
      </c>
      <c r="X11" s="41">
        <f t="shared" si="0"/>
        <v>1</v>
      </c>
      <c r="Y11" s="41">
        <f t="shared" si="0"/>
        <v>0.5714285714285714</v>
      </c>
      <c r="Z11" s="41">
        <f t="shared" si="0"/>
        <v>1.3333333333333333</v>
      </c>
      <c r="AA11" s="41">
        <f t="shared" si="0"/>
        <v>1.3333333333333333</v>
      </c>
      <c r="AB11" s="41">
        <f t="shared" si="0"/>
        <v>1.3333333333333333</v>
      </c>
      <c r="AC11" s="41">
        <f t="shared" si="0"/>
        <v>2.5</v>
      </c>
      <c r="AD11" s="41">
        <f t="shared" si="0"/>
        <v>1.3333333333333333</v>
      </c>
      <c r="AE11" s="41">
        <f t="shared" si="0"/>
        <v>3.3333333333333335</v>
      </c>
      <c r="AF11" s="41">
        <f t="shared" si="0"/>
        <v>1.3333333333333333</v>
      </c>
      <c r="AG11" s="41">
        <f t="shared" si="0"/>
        <v>2.5</v>
      </c>
      <c r="AH11" s="41">
        <f t="shared" si="0"/>
        <v>3.3333333333333335</v>
      </c>
      <c r="AI11" s="41">
        <f t="shared" si="0"/>
        <v>1.3333333333333333</v>
      </c>
      <c r="AJ11" s="41">
        <f t="shared" si="0"/>
        <v>1.3333333333333333</v>
      </c>
      <c r="AK11" s="41">
        <f t="shared" si="0"/>
        <v>1.3333333333333333</v>
      </c>
      <c r="AL11" s="41">
        <f t="shared" si="0"/>
        <v>1</v>
      </c>
      <c r="AM11" s="41">
        <f t="shared" si="0"/>
        <v>1.3333333333333333</v>
      </c>
    </row>
    <row r="16" spans="3:39" ht="16" thickBot="1" x14ac:dyDescent="0.25">
      <c r="C16" s="50" t="s">
        <v>76</v>
      </c>
      <c r="D16" s="42"/>
      <c r="E16" s="42"/>
      <c r="F16" s="42"/>
      <c r="G16" s="42"/>
      <c r="H16" s="42"/>
      <c r="I16" s="42"/>
      <c r="J16" s="42"/>
      <c r="K16" s="42"/>
      <c r="L16" s="4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12AC-AB71-154F-9EBF-3162FD7815D1}">
  <sheetPr>
    <tabColor theme="4" tint="-0.499984740745262"/>
  </sheetPr>
  <dimension ref="C1:P32"/>
  <sheetViews>
    <sheetView showGridLines="0" zoomScale="75" zoomScaleNormal="100" workbookViewId="0">
      <selection activeCell="E17" sqref="E17"/>
    </sheetView>
  </sheetViews>
  <sheetFormatPr baseColWidth="10" defaultRowHeight="15" x14ac:dyDescent="0.2"/>
  <cols>
    <col min="3" max="3" width="11.83203125" customWidth="1"/>
    <col min="4" max="4" width="13.33203125" customWidth="1"/>
    <col min="5" max="5" width="40" customWidth="1"/>
  </cols>
  <sheetData>
    <row r="1" spans="3:16" ht="24" x14ac:dyDescent="0.3">
      <c r="C1" s="16" t="s">
        <v>121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3" spans="3:16" x14ac:dyDescent="0.2">
      <c r="C3" s="76" t="s">
        <v>100</v>
      </c>
      <c r="D3" s="77"/>
      <c r="E3" s="78"/>
      <c r="H3" s="76" t="s">
        <v>120</v>
      </c>
      <c r="I3" s="77"/>
      <c r="J3" s="77"/>
      <c r="K3" s="77"/>
      <c r="L3" s="77"/>
      <c r="M3" s="77"/>
      <c r="N3" s="77"/>
      <c r="O3" s="77"/>
      <c r="P3" s="78"/>
    </row>
    <row r="4" spans="3:16" x14ac:dyDescent="0.2">
      <c r="C4" s="60"/>
      <c r="E4" s="61"/>
    </row>
    <row r="5" spans="3:16" ht="16" x14ac:dyDescent="0.2">
      <c r="C5" s="60">
        <v>2.5</v>
      </c>
      <c r="D5" t="s">
        <v>115</v>
      </c>
      <c r="E5" s="61"/>
      <c r="H5" s="64" t="s">
        <v>106</v>
      </c>
    </row>
    <row r="6" spans="3:16" ht="16" x14ac:dyDescent="0.2">
      <c r="C6" s="60">
        <v>0.6</v>
      </c>
      <c r="D6" t="s">
        <v>111</v>
      </c>
      <c r="E6" s="61"/>
      <c r="H6" s="64" t="s">
        <v>107</v>
      </c>
    </row>
    <row r="7" spans="3:16" ht="16" x14ac:dyDescent="0.2">
      <c r="C7" s="60">
        <v>800</v>
      </c>
      <c r="D7" t="s">
        <v>112</v>
      </c>
      <c r="E7" s="61"/>
      <c r="H7" s="65" t="s">
        <v>108</v>
      </c>
    </row>
    <row r="8" spans="3:16" ht="16" x14ac:dyDescent="0.2">
      <c r="C8" s="60"/>
      <c r="E8" s="61"/>
      <c r="H8" s="65" t="s">
        <v>109</v>
      </c>
    </row>
    <row r="9" spans="3:16" ht="16" x14ac:dyDescent="0.2">
      <c r="C9" s="62" t="s">
        <v>101</v>
      </c>
      <c r="D9" s="68">
        <f>C6*C7</f>
        <v>480</v>
      </c>
      <c r="E9" s="63" t="s">
        <v>113</v>
      </c>
      <c r="H9" s="65" t="s">
        <v>110</v>
      </c>
    </row>
    <row r="13" spans="3:16" x14ac:dyDescent="0.2">
      <c r="C13" s="76" t="s">
        <v>102</v>
      </c>
      <c r="D13" s="77"/>
      <c r="E13" s="78"/>
    </row>
    <row r="14" spans="3:16" ht="15" customHeight="1" x14ac:dyDescent="0.2">
      <c r="C14" s="60"/>
      <c r="D14" s="69"/>
      <c r="E14" s="61"/>
    </row>
    <row r="15" spans="3:16" ht="16" x14ac:dyDescent="0.2">
      <c r="C15" s="82" t="s">
        <v>123</v>
      </c>
      <c r="D15" s="83"/>
      <c r="E15" s="84"/>
      <c r="J15" s="65"/>
    </row>
    <row r="16" spans="3:16" x14ac:dyDescent="0.2">
      <c r="C16" s="60">
        <v>0.15</v>
      </c>
      <c r="D16" s="51" t="s">
        <v>124</v>
      </c>
      <c r="E16" s="61"/>
    </row>
    <row r="17" spans="3:9" ht="16" x14ac:dyDescent="0.2">
      <c r="C17" s="73">
        <f>C16*0.25</f>
        <v>3.7499999999999999E-2</v>
      </c>
      <c r="D17" s="51" t="s">
        <v>111</v>
      </c>
      <c r="E17" s="61"/>
      <c r="I17" s="66"/>
    </row>
    <row r="18" spans="3:9" x14ac:dyDescent="0.2">
      <c r="C18" s="60">
        <v>800</v>
      </c>
      <c r="D18" t="s">
        <v>112</v>
      </c>
      <c r="E18" s="61"/>
    </row>
    <row r="19" spans="3:9" x14ac:dyDescent="0.2">
      <c r="C19" s="60"/>
      <c r="E19" s="61"/>
    </row>
    <row r="20" spans="3:9" ht="16" x14ac:dyDescent="0.2">
      <c r="C20" s="62" t="s">
        <v>103</v>
      </c>
      <c r="D20" s="68">
        <f>C17*C18</f>
        <v>30</v>
      </c>
      <c r="E20" s="70" t="s">
        <v>113</v>
      </c>
    </row>
    <row r="23" spans="3:9" x14ac:dyDescent="0.2">
      <c r="C23" s="76" t="s">
        <v>104</v>
      </c>
      <c r="D23" s="77"/>
      <c r="E23" s="78"/>
    </row>
    <row r="24" spans="3:9" x14ac:dyDescent="0.2">
      <c r="C24" s="60"/>
      <c r="E24" s="61"/>
    </row>
    <row r="25" spans="3:9" x14ac:dyDescent="0.2">
      <c r="C25" s="79" t="s">
        <v>116</v>
      </c>
      <c r="D25" s="80"/>
      <c r="E25" s="81"/>
    </row>
    <row r="26" spans="3:9" x14ac:dyDescent="0.2">
      <c r="C26" s="60"/>
      <c r="E26" s="61"/>
    </row>
    <row r="27" spans="3:9" x14ac:dyDescent="0.2">
      <c r="C27" s="71">
        <v>135600</v>
      </c>
      <c r="D27" t="s">
        <v>117</v>
      </c>
      <c r="E27" s="61"/>
    </row>
    <row r="28" spans="3:9" x14ac:dyDescent="0.2">
      <c r="C28" s="60">
        <v>800</v>
      </c>
      <c r="D28" t="s">
        <v>118</v>
      </c>
      <c r="E28" s="61"/>
    </row>
    <row r="29" spans="3:9" x14ac:dyDescent="0.2">
      <c r="C29" s="67">
        <v>0.05</v>
      </c>
      <c r="D29" t="s">
        <v>119</v>
      </c>
      <c r="E29" s="61"/>
    </row>
    <row r="30" spans="3:9" x14ac:dyDescent="0.2">
      <c r="C30" s="60"/>
      <c r="E30" s="61"/>
    </row>
    <row r="31" spans="3:9" ht="16" x14ac:dyDescent="0.2">
      <c r="C31" s="62" t="s">
        <v>105</v>
      </c>
      <c r="D31" s="68">
        <f>C27*C28*C29</f>
        <v>5424000</v>
      </c>
      <c r="E31" s="63" t="s">
        <v>114</v>
      </c>
    </row>
    <row r="32" spans="3:9" x14ac:dyDescent="0.2">
      <c r="E32" s="72" t="s">
        <v>122</v>
      </c>
    </row>
  </sheetData>
  <mergeCells count="6">
    <mergeCell ref="C23:E23"/>
    <mergeCell ref="C25:E25"/>
    <mergeCell ref="H3:P3"/>
    <mergeCell ref="C3:E3"/>
    <mergeCell ref="C13:E13"/>
    <mergeCell ref="C15:E15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/>
  </sheetViews>
  <sheetFormatPr baseColWidth="10" defaultColWidth="14.5" defaultRowHeight="15" customHeight="1" x14ac:dyDescent="0.2"/>
  <sheetData>
    <row r="1" spans="1:3" ht="15" customHeight="1" x14ac:dyDescent="0.25">
      <c r="A1" s="85" t="s">
        <v>77</v>
      </c>
      <c r="B1" s="86"/>
      <c r="C1" s="86"/>
    </row>
  </sheetData>
  <mergeCells count="1">
    <mergeCell ref="A1:C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"/>
  <sheetViews>
    <sheetView workbookViewId="0"/>
  </sheetViews>
  <sheetFormatPr baseColWidth="10" defaultColWidth="14.5" defaultRowHeight="15" customHeight="1" x14ac:dyDescent="0.2"/>
  <cols>
    <col min="4" max="4" width="32.1640625" customWidth="1"/>
    <col min="5" max="5" width="8" customWidth="1"/>
  </cols>
  <sheetData>
    <row r="1" spans="1:10" ht="15" customHeight="1" x14ac:dyDescent="0.25">
      <c r="A1" s="85" t="s">
        <v>78</v>
      </c>
      <c r="B1" s="86"/>
      <c r="C1" s="86"/>
      <c r="D1" s="3"/>
      <c r="E1" s="4"/>
      <c r="F1" s="3"/>
      <c r="G1" s="3"/>
      <c r="H1" s="3"/>
      <c r="I1" s="3"/>
      <c r="J1" s="3"/>
    </row>
    <row r="2" spans="1:10" x14ac:dyDescent="0.2">
      <c r="A2" s="5"/>
      <c r="B2" s="5"/>
      <c r="C2" s="5"/>
      <c r="D2" s="5"/>
      <c r="E2" s="5"/>
      <c r="F2" s="6">
        <v>2023</v>
      </c>
      <c r="G2" s="6">
        <v>2024</v>
      </c>
      <c r="H2" s="6">
        <v>2025</v>
      </c>
      <c r="I2" s="6">
        <v>2026</v>
      </c>
      <c r="J2" s="6">
        <v>2027</v>
      </c>
    </row>
    <row r="3" spans="1:10" x14ac:dyDescent="0.2">
      <c r="A3" s="89" t="s">
        <v>79</v>
      </c>
      <c r="B3" s="90"/>
      <c r="C3" s="90"/>
      <c r="D3" s="4"/>
      <c r="E3" s="4"/>
      <c r="F3" s="4"/>
      <c r="G3" s="4"/>
      <c r="H3" s="4"/>
      <c r="I3" s="4"/>
      <c r="J3" s="4"/>
    </row>
    <row r="4" spans="1:10" x14ac:dyDescent="0.2">
      <c r="A4" s="4"/>
      <c r="B4" s="4"/>
      <c r="C4" s="4" t="s">
        <v>80</v>
      </c>
      <c r="D4" s="4"/>
      <c r="E4" s="7" t="s">
        <v>81</v>
      </c>
      <c r="F4" s="52"/>
      <c r="G4" s="52"/>
      <c r="H4" s="52"/>
      <c r="I4" s="52"/>
      <c r="J4" s="52"/>
    </row>
    <row r="5" spans="1:10" x14ac:dyDescent="0.2">
      <c r="A5" s="4"/>
      <c r="B5" s="91" t="s">
        <v>82</v>
      </c>
      <c r="C5" s="90"/>
      <c r="D5" s="91"/>
      <c r="E5" s="90"/>
      <c r="F5" s="91"/>
      <c r="G5" s="90"/>
      <c r="H5" s="91"/>
      <c r="I5" s="90"/>
      <c r="J5" s="54"/>
    </row>
    <row r="6" spans="1:10" x14ac:dyDescent="0.2">
      <c r="A6" s="4"/>
      <c r="B6" s="4"/>
      <c r="C6" s="4" t="s">
        <v>83</v>
      </c>
      <c r="D6" s="4"/>
      <c r="E6" s="7" t="s">
        <v>81</v>
      </c>
      <c r="F6" s="52"/>
      <c r="G6" s="52"/>
      <c r="H6" s="52"/>
      <c r="I6" s="52"/>
      <c r="J6" s="55"/>
    </row>
    <row r="7" spans="1:10" x14ac:dyDescent="0.2">
      <c r="A7" s="4"/>
      <c r="B7" s="4"/>
      <c r="C7" s="4" t="s">
        <v>84</v>
      </c>
      <c r="D7" s="4"/>
      <c r="E7" s="7" t="s">
        <v>81</v>
      </c>
      <c r="F7" s="52"/>
      <c r="G7" s="52"/>
      <c r="H7" s="52"/>
      <c r="I7" s="52"/>
      <c r="J7" s="52"/>
    </row>
    <row r="8" spans="1:10" x14ac:dyDescent="0.2">
      <c r="A8" s="4"/>
      <c r="B8" s="4"/>
      <c r="C8" s="4" t="s">
        <v>85</v>
      </c>
      <c r="D8" s="4"/>
      <c r="E8" s="7" t="s">
        <v>81</v>
      </c>
      <c r="F8" s="52"/>
      <c r="G8" s="52"/>
      <c r="H8" s="52"/>
      <c r="I8" s="52"/>
      <c r="J8" s="52"/>
    </row>
    <row r="9" spans="1:10" x14ac:dyDescent="0.2">
      <c r="A9" s="4"/>
      <c r="B9" s="4"/>
      <c r="C9" s="4" t="s">
        <v>86</v>
      </c>
      <c r="D9" s="4"/>
      <c r="E9" s="7" t="s">
        <v>81</v>
      </c>
      <c r="F9" s="52"/>
      <c r="G9" s="52"/>
      <c r="H9" s="52"/>
      <c r="I9" s="52"/>
      <c r="J9" s="52"/>
    </row>
    <row r="10" spans="1:10" x14ac:dyDescent="0.2">
      <c r="A10" s="4"/>
      <c r="B10" s="91" t="s">
        <v>87</v>
      </c>
      <c r="C10" s="90"/>
      <c r="D10" s="53"/>
      <c r="E10" s="8" t="s">
        <v>81</v>
      </c>
      <c r="F10" s="54"/>
      <c r="G10" s="54"/>
      <c r="H10" s="54"/>
      <c r="I10" s="54"/>
      <c r="J10" s="56"/>
    </row>
    <row r="11" spans="1:10" x14ac:dyDescent="0.2">
      <c r="A11" s="87" t="s">
        <v>88</v>
      </c>
      <c r="B11" s="88"/>
      <c r="C11" s="88"/>
      <c r="D11" s="57"/>
      <c r="E11" s="9" t="s">
        <v>81</v>
      </c>
      <c r="F11" s="58"/>
      <c r="G11" s="58"/>
      <c r="H11" s="58"/>
      <c r="I11" s="58"/>
      <c r="J11" s="59"/>
    </row>
    <row r="12" spans="1:10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92" t="s">
        <v>89</v>
      </c>
      <c r="B13" s="93"/>
      <c r="C13" s="93"/>
      <c r="D13" s="4"/>
      <c r="E13" s="4"/>
      <c r="F13" s="4"/>
      <c r="G13" s="4"/>
      <c r="H13" s="4"/>
      <c r="I13" s="4"/>
      <c r="J13" s="4"/>
    </row>
    <row r="14" spans="1:10" x14ac:dyDescent="0.2">
      <c r="A14" s="4"/>
      <c r="B14" s="91" t="s">
        <v>90</v>
      </c>
      <c r="C14" s="90"/>
      <c r="D14" s="4"/>
      <c r="E14" s="4"/>
      <c r="F14" s="4"/>
      <c r="G14" s="4"/>
      <c r="H14" s="4"/>
      <c r="I14" s="4"/>
      <c r="J14" s="4"/>
    </row>
    <row r="15" spans="1:10" x14ac:dyDescent="0.2">
      <c r="A15" s="4"/>
      <c r="B15" s="4"/>
      <c r="C15" s="4" t="s">
        <v>91</v>
      </c>
      <c r="D15" s="4"/>
      <c r="E15" s="7" t="s">
        <v>81</v>
      </c>
      <c r="F15" s="52"/>
      <c r="G15" s="52"/>
      <c r="H15" s="52"/>
      <c r="I15" s="52"/>
      <c r="J15" s="52"/>
    </row>
    <row r="16" spans="1:10" x14ac:dyDescent="0.2">
      <c r="A16" s="4"/>
      <c r="B16" s="4"/>
      <c r="C16" s="4" t="s">
        <v>92</v>
      </c>
      <c r="D16" s="4"/>
      <c r="E16" s="7" t="s">
        <v>81</v>
      </c>
      <c r="F16" s="52"/>
      <c r="G16" s="52"/>
      <c r="H16" s="52"/>
      <c r="I16" s="52"/>
      <c r="J16" s="52"/>
    </row>
    <row r="17" spans="1:10" x14ac:dyDescent="0.2">
      <c r="A17" s="4"/>
      <c r="B17" s="4"/>
      <c r="C17" s="4" t="s">
        <v>93</v>
      </c>
      <c r="D17" s="4"/>
      <c r="E17" s="7" t="s">
        <v>81</v>
      </c>
      <c r="F17" s="10"/>
      <c r="G17" s="10"/>
      <c r="H17" s="52"/>
      <c r="I17" s="52"/>
      <c r="J17" s="52"/>
    </row>
    <row r="18" spans="1:10" x14ac:dyDescent="0.2">
      <c r="A18" s="4"/>
      <c r="B18" s="91" t="s">
        <v>94</v>
      </c>
      <c r="C18" s="90"/>
      <c r="D18" s="53"/>
      <c r="E18" s="8" t="s">
        <v>81</v>
      </c>
      <c r="F18" s="54"/>
      <c r="G18" s="54"/>
      <c r="H18" s="54"/>
      <c r="I18" s="54"/>
      <c r="J18" s="56"/>
    </row>
    <row r="19" spans="1:10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">
      <c r="A20" s="4"/>
      <c r="B20" s="94" t="s">
        <v>95</v>
      </c>
      <c r="C20" s="93"/>
      <c r="D20" s="54"/>
      <c r="E20" s="54"/>
      <c r="F20" s="54"/>
      <c r="G20" s="54"/>
      <c r="H20" s="54"/>
      <c r="I20" s="54"/>
      <c r="J20" s="54"/>
    </row>
    <row r="21" spans="1:10" x14ac:dyDescent="0.2">
      <c r="A21" s="4"/>
      <c r="B21" s="4"/>
      <c r="C21" s="4" t="s">
        <v>96</v>
      </c>
      <c r="D21" s="4"/>
      <c r="E21" s="7" t="s">
        <v>81</v>
      </c>
      <c r="F21" s="52"/>
      <c r="G21" s="52"/>
      <c r="H21" s="52"/>
      <c r="I21" s="52"/>
      <c r="J21" s="52"/>
    </row>
    <row r="22" spans="1:10" x14ac:dyDescent="0.2">
      <c r="A22" s="4"/>
      <c r="B22" s="4"/>
      <c r="C22" s="4" t="s">
        <v>97</v>
      </c>
      <c r="D22" s="4"/>
      <c r="E22" s="7" t="s">
        <v>81</v>
      </c>
      <c r="F22" s="52"/>
      <c r="G22" s="52"/>
      <c r="H22" s="52"/>
      <c r="I22" s="52"/>
      <c r="J22" s="10"/>
    </row>
    <row r="23" spans="1:10" x14ac:dyDescent="0.2">
      <c r="A23" s="4"/>
      <c r="B23" s="91" t="s">
        <v>98</v>
      </c>
      <c r="C23" s="90"/>
      <c r="D23" s="53"/>
      <c r="E23" s="8" t="s">
        <v>81</v>
      </c>
      <c r="F23" s="54"/>
      <c r="G23" s="54"/>
      <c r="H23" s="54"/>
      <c r="I23" s="54"/>
      <c r="J23" s="54"/>
    </row>
    <row r="24" spans="1:10" x14ac:dyDescent="0.2">
      <c r="A24" s="87" t="s">
        <v>99</v>
      </c>
      <c r="B24" s="88"/>
      <c r="C24" s="88"/>
      <c r="D24" s="57"/>
      <c r="E24" s="9" t="s">
        <v>81</v>
      </c>
      <c r="F24" s="58"/>
      <c r="G24" s="58"/>
      <c r="H24" s="58"/>
      <c r="I24" s="58"/>
      <c r="J24" s="59"/>
    </row>
  </sheetData>
  <mergeCells count="14">
    <mergeCell ref="D5:E5"/>
    <mergeCell ref="F5:G5"/>
    <mergeCell ref="H5:I5"/>
    <mergeCell ref="B10:C10"/>
    <mergeCell ref="B23:C23"/>
    <mergeCell ref="A24:C24"/>
    <mergeCell ref="A1:C1"/>
    <mergeCell ref="A3:C3"/>
    <mergeCell ref="B5:C5"/>
    <mergeCell ref="A11:C11"/>
    <mergeCell ref="A13:C13"/>
    <mergeCell ref="B14:C14"/>
    <mergeCell ref="B18:C18"/>
    <mergeCell ref="B20:C20"/>
  </mergeCell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d4505a9-6cd4-4946-8469-fe3f198364fd}" enabled="0" method="" siteId="{dd4505a9-6cd4-4946-8469-fe3f19836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P&amp;L</vt:lpstr>
      <vt:lpstr>Break Even Calculation</vt:lpstr>
      <vt:lpstr>Customer Aquisition Costs</vt:lpstr>
      <vt:lpstr>Market Size</vt:lpstr>
      <vt:lpstr>Cashflow</vt:lpstr>
      <vt:lpstr>Bilanz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Bernhard Wach</dc:creator>
  <cp:keywords/>
  <dc:description/>
  <cp:lastModifiedBy>Luka Benedikt Hoffmann</cp:lastModifiedBy>
  <cp:revision/>
  <dcterms:created xsi:type="dcterms:W3CDTF">2023-05-10T20:57:12Z</dcterms:created>
  <dcterms:modified xsi:type="dcterms:W3CDTF">2025-07-02T19:09:16Z</dcterms:modified>
  <cp:category/>
  <cp:contentStatus/>
</cp:coreProperties>
</file>